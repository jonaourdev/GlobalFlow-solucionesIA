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d489098304d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uras_Historicas" sheetId="1" r:id="R16189e1730be4233"/>
    <x:sheet xmlns:r="http://schemas.openxmlformats.org/officeDocument/2006/relationships" name="Resumen" sheetId="2" r:id="R772e32fd8f2141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$#,##0.00"/>
  </x:numFmts>
  <x:fonts count="3">
    <x:font>
      <x:sz val="11"/>
      <x:name val="Carlito"/>
    </x:font>
    <x:font>
      <x:b/>
      <x:sz val="11"/>
      <x:color rgb="FFFFFF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"/>
      </x:patternFill>
    </x:fill>
  </x:fills>
  <x:borders count="12">
    <x:border/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E5E7EB"/>
      </x:left>
      <x:top style="thin">
        <x:color rgb="E5E7EB"/>
      </x:top>
    </x:border>
    <x:border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bottom style="thin">
        <x:color rgb="E5E7EB"/>
      </x:bottom>
    </x:border>
    <x:border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10" xfId="0" applyNumberFormat="1" applyFont="1" applyFill="1" applyBorder="1" applyAlignment="1">
      <x:alignment vertical="center" wrapText="1"/>
    </x:xf>
    <x:xf numFmtId="201" fontId="2" fillId="0" borderId="5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2" fillId="0" borderId="10" xfId="0" applyNumberFormat="1" applyFont="1" applyFill="1" applyBorder="1" applyAlignment="1">
      <x:alignment vertical="center" wrapText="1"/>
    </x:xf>
    <x:xf numFmtId="202" fontId="2" fillId="0" borderId="5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2" fontId="2" fillId="0" borderId="10" xfId="0" applyNumberFormat="1" applyFont="1" applyFill="1" applyBorder="1" applyAlignment="1">
      <x:alignment vertical="center" wrapText="1"/>
    </x:xf>
    <x:xf numFmtId="202" fontId="2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ba386a2434d2c" /><Relationship Type="http://schemas.openxmlformats.org/officeDocument/2006/relationships/theme" Target="/xl/theme/theme1.xml" Id="R3d2b15b0c0194475" /><Relationship Type="http://schemas.openxmlformats.org/officeDocument/2006/relationships/sharedStrings" Target="/xl/sharedStrings.xml" Id="Raa74bedb75d54309" /><Relationship Type="http://schemas.openxmlformats.org/officeDocument/2006/relationships/worksheet" Target="/xl/worksheets/sheet1.xml" Id="R16189e1730be4233" /><Relationship Type="http://schemas.openxmlformats.org/officeDocument/2006/relationships/worksheet" Target="/xl/worksheets/sheet2.xml" Id="R772e32fd8f2141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14" hidden="0" customWidth="1"/>
    <x:col min="5" max="5" width="10" hidden="0" customWidth="1"/>
    <x:col min="6" max="6" width="34" hidden="0" customWidth="1"/>
    <x:col min="7" max="7" width="28" hidden="0" customWidth="1"/>
    <x:col min="8" max="8" width="10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6" hidden="0" customWidth="1"/>
    <x:col min="14" max="14" width="22" hidden="0" customWidth="1"/>
    <x:col min="15" max="15" width="14" hidden="0" customWidth="1"/>
    <x:col min="16" max="16" width="26" hidden="0" customWidth="1"/>
  </x:cols>
  <x:sheetData>
    <x:row r="1">
      <x:c r="A1" s="12" t="str">
        <x:v>invoice_id</x:v>
      </x:c>
      <x:c r="B1" s="13" t="str">
        <x:v>fecha_emision</x:v>
      </x:c>
      <x:c r="C1" s="13" t="str">
        <x:v>proveedor</x:v>
      </x:c>
      <x:c r="D1" s="13" t="str">
        <x:v>pais_origen</x:v>
      </x:c>
      <x:c r="E1" s="13" t="str">
        <x:v>incoterm</x:v>
      </x:c>
      <x:c r="F1" s="13" t="str">
        <x:v>descripcion_raw</x:v>
      </x:c>
      <x:c r="G1" s="13" t="str">
        <x:v>descripcion_normalizada</x:v>
      </x:c>
      <x:c r="H1" s="13" t="str">
        <x:v>unidades</x:v>
      </x:c>
      <x:c r="I1" s="13" t="str">
        <x:v>valor_unitario_usd</x:v>
      </x:c>
      <x:c r="J1" s="13" t="str">
        <x:v>valor_total_usd</x:v>
      </x:c>
      <x:c r="K1" s="13" t="str">
        <x:v>codigo_inicial</x:v>
      </x:c>
      <x:c r="L1" s="13" t="str">
        <x:v>codigo_final</x:v>
      </x:c>
      <x:c r="M1" s="13" t="str">
        <x:v>estado_clasificacion</x:v>
      </x:c>
      <x:c r="N1" s="13" t="str">
        <x:v>tipo_error</x:v>
      </x:c>
      <x:c r="O1" s="13" t="str">
        <x:v>confianza_modelo</x:v>
      </x:c>
      <x:c r="P1" s="14" t="str">
        <x:v>nota_revisor</x:v>
      </x:c>
    </x:row>
    <x:row r="2">
      <x:c r="A2" s="33" t="str">
        <x:v>INV-2025-0056</x:v>
      </x:c>
      <x:c r="B2" s="42" t="str">
        <x:v>2025-01-06</x:v>
      </x:c>
      <x:c r="C2" s="34" t="str">
        <x:v>KitchenFlex Co.</x:v>
      </x:c>
      <x:c r="D2" s="34" t="str">
        <x:v>Brasil</x:v>
      </x:c>
      <x:c r="E2" s="34" t="str">
        <x:v>CIF</x:v>
      </x:c>
      <x:c r="F2" s="34" t="str">
        <x:v>Conector eléctrico de cobre para panel industrial</x:v>
      </x:c>
      <x:c r="G2" s="34" t="str">
        <x:v>conector para circuitos eléctricos</x:v>
      </x:c>
      <x:c r="H2" s="45" t="n">
        <x:v>10</x:v>
      </x:c>
      <x:c r="I2" s="48" t="n">
        <x:v>674.07</x:v>
      </x:c>
      <x:c r="J2" s="48" t="n">
        <x:v>6740.7</x:v>
      </x:c>
      <x:c r="K2" s="34" t="str">
        <x:v>853669</x:v>
      </x:c>
      <x:c r="L2" s="34" t="str">
        <x:v>853669</x:v>
      </x:c>
      <x:c r="M2" s="34" t="str">
        <x:v>correcta</x:v>
      </x:c>
      <x:c r="N2" s="34" t="str">
        <x:v>ninguno</x:v>
      </x:c>
      <x:c r="O2" s="34" t="str">
        <x:v>media</x:v>
      </x:c>
      <x:c r="P2" s="35" t="str">
        <x:v>Confirmado por ficha técnica.</x:v>
      </x:c>
    </x:row>
    <x:row r="3">
      <x:c r="A3" s="36" t="str">
        <x:v>INV-2025-0004</x:v>
      </x:c>
      <x:c r="B3" s="43" t="str">
        <x:v>2025-01-09</x:v>
      </x:c>
      <x:c r="C3" s="37" t="str">
        <x:v>TextilSur Ltda</x:v>
      </x:c>
      <x:c r="D3" s="37" t="str">
        <x:v>Italia</x:v>
      </x:c>
      <x:c r="E3" s="37" t="str">
        <x:v>EXW</x:v>
      </x:c>
      <x:c r="F3" s="37" t="str">
        <x:v>Bolsas plásticas de empaque PE para retail</x:v>
      </x:c>
      <x:c r="G3" s="37" t="str">
        <x:v>bolsas de polímero de etileno</x:v>
      </x:c>
      <x:c r="H3" s="46" t="n">
        <x:v>75</x:v>
      </x:c>
      <x:c r="I3" s="49" t="n">
        <x:v>769.44</x:v>
      </x:c>
      <x:c r="J3" s="49" t="n">
        <x:v>57708</x:v>
      </x:c>
      <x:c r="K3" s="37" t="str">
        <x:v>392321</x:v>
      </x:c>
      <x:c r="L3" s="37" t="str">
        <x:v>392321</x:v>
      </x:c>
      <x:c r="M3" s="37" t="str">
        <x:v>correcta</x:v>
      </x:c>
      <x:c r="N3" s="37" t="str">
        <x:v>ninguno</x:v>
      </x:c>
      <x:c r="O3" s="37" t="str">
        <x:v>media</x:v>
      </x:c>
      <x:c r="P3" s="38" t="str">
        <x:v>Envase plástico liviano.</x:v>
      </x:c>
    </x:row>
    <x:row r="4">
      <x:c r="A4" s="36" t="str">
        <x:v>INV-2025-0047</x:v>
      </x:c>
      <x:c r="B4" s="43" t="str">
        <x:v>2025-01-27</x:v>
      </x:c>
      <x:c r="C4" s="37" t="str">
        <x:v>AgroNova SAS</x:v>
      </x:c>
      <x:c r="D4" s="37" t="str">
        <x:v>Colombia</x:v>
      </x:c>
      <x:c r="E4" s="37" t="str">
        <x:v>FOB</x:v>
      </x:c>
      <x:c r="F4" s="37" t="str">
        <x:v>Bolsas plásticas de empaque PE para retail</x:v>
      </x:c>
      <x:c r="G4" s="37" t="str">
        <x:v>bolsas de polímero de etileno</x:v>
      </x:c>
      <x:c r="H4" s="46" t="n">
        <x:v>30</x:v>
      </x:c>
      <x:c r="I4" s="49" t="n">
        <x:v>409.72</x:v>
      </x:c>
      <x:c r="J4" s="49" t="n">
        <x:v>12291.6</x:v>
      </x:c>
      <x:c r="K4" s="37" t="str">
        <x:v>392321</x:v>
      </x:c>
      <x:c r="L4" s="37" t="str">
        <x:v>392321</x:v>
      </x:c>
      <x:c r="M4" s="37" t="str">
        <x:v>correcta</x:v>
      </x:c>
      <x:c r="N4" s="37" t="str">
        <x:v>ninguno</x:v>
      </x:c>
      <x:c r="O4" s="37" t="str">
        <x:v>media</x:v>
      </x:c>
      <x:c r="P4" s="38" t="str">
        <x:v>Envase plástico liviano.</x:v>
      </x:c>
    </x:row>
    <x:row r="5">
      <x:c r="A5" s="36" t="str">
        <x:v>INV-2025-0015</x:v>
      </x:c>
      <x:c r="B5" s="43" t="str">
        <x:v>2025-01-30</x:v>
      </x:c>
      <x:c r="C5" s="37" t="str">
        <x:v>EuroTrade BV</x:v>
      </x:c>
      <x:c r="D5" s="37" t="str">
        <x:v>Países Bajos</x:v>
      </x:c>
      <x:c r="E5" s="37" t="str">
        <x:v>CIF</x:v>
      </x:c>
      <x:c r="F5" s="37" t="str">
        <x:v>Cargador para notebook 65W</x:v>
      </x:c>
      <x:c r="G5" s="37" t="str">
        <x:v>fuente de alimentación para portátil</x:v>
      </x:c>
      <x:c r="H5" s="46" t="n">
        <x:v>200</x:v>
      </x:c>
      <x:c r="I5" s="49" t="n">
        <x:v>88.64</x:v>
      </x:c>
      <x:c r="J5" s="49" t="n">
        <x:v>17728</x:v>
      </x:c>
      <x:c r="K5" s="37" t="str">
        <x:v>850440</x:v>
      </x:c>
      <x:c r="L5" s="37" t="str">
        <x:v>850440</x:v>
      </x:c>
      <x:c r="M5" s="37" t="str">
        <x:v>correcta</x:v>
      </x:c>
      <x:c r="N5" s="37" t="str">
        <x:v>ninguno</x:v>
      </x:c>
      <x:c r="O5" s="37" t="str">
        <x:v>media</x:v>
      </x:c>
      <x:c r="P5" s="38" t="str">
        <x:v>Convertidor estático.</x:v>
      </x:c>
    </x:row>
    <x:row r="6">
      <x:c r="A6" s="36" t="str">
        <x:v>INV-2025-0044</x:v>
      </x:c>
      <x:c r="B6" s="43" t="str">
        <x:v>2025-02-01</x:v>
      </x:c>
      <x:c r="C6" s="37" t="str">
        <x:v>EuroTrade BV</x:v>
      </x:c>
      <x:c r="D6" s="37" t="str">
        <x:v>Italia</x:v>
      </x:c>
      <x:c r="E6" s="37" t="str">
        <x:v>EXW</x:v>
      </x:c>
      <x:c r="F6" s="37" t="str">
        <x:v>Estructura de acero para bodega prefabricada</x:v>
      </x:c>
      <x:c r="G6" s="37" t="str">
        <x:v>parte de construcción de acero</x:v>
      </x:c>
      <x:c r="H6" s="46" t="n">
        <x:v>200</x:v>
      </x:c>
      <x:c r="I6" s="49" t="n">
        <x:v>240.44</x:v>
      </x:c>
      <x:c r="J6" s="49" t="n">
        <x:v>48088</x:v>
      </x:c>
      <x:c r="K6" s="37" t="str">
        <x:v>730890</x:v>
      </x:c>
      <x:c r="L6" s="37" t="str">
        <x:v>730890</x:v>
      </x:c>
      <x:c r="M6" s="37" t="str">
        <x:v>correcta</x:v>
      </x:c>
      <x:c r="N6" s="37" t="str">
        <x:v>ninguno</x:v>
      </x:c>
      <x:c r="O6" s="37" t="str">
        <x:v>alta</x:v>
      </x:c>
      <x:c r="P6" s="38" t="str">
        <x:v>Uso estructural.</x:v>
      </x:c>
    </x:row>
    <x:row r="7">
      <x:c r="A7" s="36" t="str">
        <x:v>INV-2025-0032</x:v>
      </x:c>
      <x:c r="B7" s="43" t="str">
        <x:v>2025-02-05</x:v>
      </x:c>
      <x:c r="C7" s="37" t="str">
        <x:v>TextilSur Ltda</x:v>
      </x:c>
      <x:c r="D7" s="37" t="str">
        <x:v>Italia</x:v>
      </x:c>
      <x:c r="E7" s="37" t="str">
        <x:v>FOB</x:v>
      </x:c>
      <x:c r="F7" s="37" t="str">
        <x:v>Motherboard para computador portátil</x:v>
      </x:c>
      <x:c r="G7" s="37" t="str">
        <x:v>parte para equipo 8471</x:v>
      </x:c>
      <x:c r="H7" s="46" t="n">
        <x:v>50</x:v>
      </x:c>
      <x:c r="I7" s="49" t="n">
        <x:v>821.76</x:v>
      </x:c>
      <x:c r="J7" s="49" t="n">
        <x:v>41088</x:v>
      </x:c>
      <x:c r="K7" s="37" t="str">
        <x:v>847330</x:v>
      </x:c>
      <x:c r="L7" s="37" t="str">
        <x:v>847330</x:v>
      </x:c>
      <x:c r="M7" s="37" t="str">
        <x:v>correcta</x:v>
      </x:c>
      <x:c r="N7" s="37" t="str">
        <x:v>ninguno</x:v>
      </x:c>
      <x:c r="O7" s="37" t="str">
        <x:v>media</x:v>
      </x:c>
      <x:c r="P7" s="38" t="str">
        <x:v>Parte y no equipo completo.</x:v>
      </x:c>
    </x:row>
    <x:row r="8">
      <x:c r="A8" s="36" t="str">
        <x:v>INV-2025-0002</x:v>
      </x:c>
      <x:c r="B8" s="43" t="str">
        <x:v>2025-02-22</x:v>
      </x:c>
      <x:c r="C8" s="37" t="str">
        <x:v>Pacific Components GmbH</x:v>
      </x:c>
      <x:c r="D8" s="37" t="str">
        <x:v>Alemania</x:v>
      </x:c>
      <x:c r="E8" s="37" t="str">
        <x:v>CFR</x:v>
      </x:c>
      <x:c r="F8" s="37" t="str">
        <x:v>Bolsas plásticas de empaque PE para retail</x:v>
      </x:c>
      <x:c r="G8" s="37" t="str">
        <x:v>bolsas de polímero de etileno</x:v>
      </x:c>
      <x:c r="H8" s="46" t="n">
        <x:v>150</x:v>
      </x:c>
      <x:c r="I8" s="49" t="n">
        <x:v>32.61</x:v>
      </x:c>
      <x:c r="J8" s="49" t="n">
        <x:v>4891.5</x:v>
      </x:c>
      <x:c r="K8" s="37" t="str">
        <x:v>392321</x:v>
      </x:c>
      <x:c r="L8" s="37" t="str">
        <x:v>392321</x:v>
      </x:c>
      <x:c r="M8" s="37" t="str">
        <x:v>correcta</x:v>
      </x:c>
      <x:c r="N8" s="37" t="str">
        <x:v>ninguno</x:v>
      </x:c>
      <x:c r="O8" s="37" t="str">
        <x:v>alta</x:v>
      </x:c>
      <x:c r="P8" s="38" t="str">
        <x:v>Envase plástico liviano.</x:v>
      </x:c>
    </x:row>
    <x:row r="9">
      <x:c r="A9" s="36" t="str">
        <x:v>INV-2025-0042</x:v>
      </x:c>
      <x:c r="B9" s="43" t="str">
        <x:v>2025-02-28</x:v>
      </x:c>
      <x:c r="C9" s="37" t="str">
        <x:v>TextilSur Ltda</x:v>
      </x:c>
      <x:c r="D9" s="37" t="str">
        <x:v>Perú</x:v>
      </x:c>
      <x:c r="E9" s="37" t="str">
        <x:v>FOB</x:v>
      </x:c>
      <x:c r="F9" s="37" t="str">
        <x:v>Sérum hidratante facial con ácido hialurónico</x:v>
      </x:c>
      <x:c r="G9" s="37" t="str">
        <x:v>preparación cosmética para cuidado de la piel</x:v>
      </x:c>
      <x:c r="H9" s="46" t="n">
        <x:v>75</x:v>
      </x:c>
      <x:c r="I9" s="49" t="n">
        <x:v>885.34</x:v>
      </x:c>
      <x:c r="J9" s="49" t="n">
        <x:v>66400.5</x:v>
      </x:c>
      <x:c r="K9" s="37" t="str">
        <x:v>330499</x:v>
      </x:c>
      <x:c r="L9" s="37" t="str">
        <x:v>330499</x:v>
      </x:c>
      <x:c r="M9" s="37" t="str">
        <x:v>correcta</x:v>
      </x:c>
      <x:c r="N9" s="37" t="str">
        <x:v>ninguno</x:v>
      </x:c>
      <x:c r="O9" s="37" t="str">
        <x:v>alta</x:v>
      </x:c>
      <x:c r="P9" s="38" t="str">
        <x:v>Uso cosmético.</x:v>
      </x:c>
    </x:row>
    <x:row r="10">
      <x:c r="A10" s="36" t="str">
        <x:v>INV-2025-0020</x:v>
      </x:c>
      <x:c r="B10" s="43" t="str">
        <x:v>2025-03-04</x:v>
      </x:c>
      <x:c r="C10" s="37" t="str">
        <x:v>BlueRiver Imports</x:v>
      </x:c>
      <x:c r="D10" s="37" t="str">
        <x:v>Perú</x:v>
      </x:c>
      <x:c r="E10" s="37" t="str">
        <x:v>CIF</x:v>
      </x:c>
      <x:c r="F10" s="37" t="str">
        <x:v>Cafetera eléctrica programable</x:v>
      </x:c>
      <x:c r="G10" s="37" t="str">
        <x:v>aparato eléctrico para preparar café</x:v>
      </x:c>
      <x:c r="H10" s="46" t="n">
        <x:v>100</x:v>
      </x:c>
      <x:c r="I10" s="49" t="n">
        <x:v>465.45</x:v>
      </x:c>
      <x:c r="J10" s="49" t="n">
        <x:v>46545</x:v>
      </x:c>
      <x:c r="K10" s="37" t="str">
        <x:v>851671</x:v>
      </x:c>
      <x:c r="L10" s="37" t="str">
        <x:v>851671</x:v>
      </x:c>
      <x:c r="M10" s="37" t="str">
        <x:v>correcta</x:v>
      </x:c>
      <x:c r="N10" s="37" t="str">
        <x:v>ninguno</x:v>
      </x:c>
      <x:c r="O10" s="37" t="str">
        <x:v>alta</x:v>
      </x:c>
      <x:c r="P10" s="38" t="str">
        <x:v>Electrodoméstico.</x:v>
      </x:c>
    </x:row>
    <x:row r="11">
      <x:c r="A11" s="36" t="str">
        <x:v>INV-2025-0066</x:v>
      </x:c>
      <x:c r="B11" s="43" t="str">
        <x:v>2025-03-09</x:v>
      </x:c>
      <x:c r="C11" s="37" t="str">
        <x:v>MediSupply SL</x:v>
      </x:c>
      <x:c r="D11" s="37" t="str">
        <x:v>Países Bajos</x:v>
      </x:c>
      <x:c r="E11" s="37" t="str">
        <x:v>DAP</x:v>
      </x:c>
      <x:c r="F11" s="37" t="str">
        <x:v>Sérum hidratante facial con ácido hialurónico</x:v>
      </x:c>
      <x:c r="G11" s="37" t="str">
        <x:v>preparación cosmética para cuidado de la piel</x:v>
      </x:c>
      <x:c r="H11" s="46" t="n">
        <x:v>50</x:v>
      </x:c>
      <x:c r="I11" s="49" t="n">
        <x:v>871.8</x:v>
      </x:c>
      <x:c r="J11" s="49" t="n">
        <x:v>43590</x:v>
      </x:c>
      <x:c r="K11" s="37" t="str">
        <x:v>330499</x:v>
      </x:c>
      <x:c r="L11" s="37" t="str">
        <x:v>330499</x:v>
      </x:c>
      <x:c r="M11" s="37" t="str">
        <x:v>correcta</x:v>
      </x:c>
      <x:c r="N11" s="37" t="str">
        <x:v>ninguno</x:v>
      </x:c>
      <x:c r="O11" s="37" t="str">
        <x:v>media</x:v>
      </x:c>
      <x:c r="P11" s="38" t="str">
        <x:v>Uso cosmético.</x:v>
      </x:c>
    </x:row>
    <x:row r="12">
      <x:c r="A12" s="36" t="str">
        <x:v>INV-2025-0040</x:v>
      </x:c>
      <x:c r="B12" s="43" t="str">
        <x:v>2025-03-14</x:v>
      </x:c>
      <x:c r="C12" s="37" t="str">
        <x:v>BlueRiver Imports</x:v>
      </x:c>
      <x:c r="D12" s="37" t="str">
        <x:v>España</x:v>
      </x:c>
      <x:c r="E12" s="37" t="str">
        <x:v>CIF</x:v>
      </x:c>
      <x:c r="F12" s="37" t="str">
        <x:v>Tejido de algodón estampado 150 g/m2 en rollos</x:v>
      </x:c>
      <x:c r="G12" s="37" t="str">
        <x:v>tejido algodón estampado</x:v>
      </x:c>
      <x:c r="H12" s="46" t="n">
        <x:v>50</x:v>
      </x:c>
      <x:c r="I12" s="49" t="n">
        <x:v>481.83</x:v>
      </x:c>
      <x:c r="J12" s="49" t="n">
        <x:v>24091.5</x:v>
      </x:c>
      <x:c r="K12" s="37" t="str">
        <x:v>520852</x:v>
      </x:c>
      <x:c r="L12" s="37" t="str">
        <x:v>520852</x:v>
      </x:c>
      <x:c r="M12" s="37" t="str">
        <x:v>correcta</x:v>
      </x:c>
      <x:c r="N12" s="37" t="str">
        <x:v>ninguno</x:v>
      </x:c>
      <x:c r="O12" s="37" t="str">
        <x:v>media</x:v>
      </x:c>
      <x:c r="P12" s="38" t="str">
        <x:v>Atributos técnicos completos.</x:v>
      </x:c>
    </x:row>
    <x:row r="13">
      <x:c r="A13" s="36" t="str">
        <x:v>INV-2025-0029</x:v>
      </x:c>
      <x:c r="B13" s="43" t="str">
        <x:v>2025-04-13</x:v>
      </x:c>
      <x:c r="C13" s="37" t="str">
        <x:v>KitchenFlex Co.</x:v>
      </x:c>
      <x:c r="D13" s="37" t="str">
        <x:v>Portugal</x:v>
      </x:c>
      <x:c r="E13" s="37" t="str">
        <x:v>CIF</x:v>
      </x:c>
      <x:c r="F13" s="37" t="str">
        <x:v>Monitor LED 27 pulgadas</x:v>
      </x:c>
      <x:c r="G13" s="37" t="str">
        <x:v>monitor sin sintonizador</x:v>
      </x:c>
      <x:c r="H13" s="46" t="n">
        <x:v>20</x:v>
      </x:c>
      <x:c r="I13" s="49" t="n">
        <x:v>238.1</x:v>
      </x:c>
      <x:c r="J13" s="49" t="n">
        <x:v>4762</x:v>
      </x:c>
      <x:c r="K13" s="37" t="str">
        <x:v>852872</x:v>
      </x:c>
      <x:c r="L13" s="37" t="str">
        <x:v>847130</x:v>
      </x:c>
      <x:c r="M13" s="37" t="str">
        <x:v>requiere_revision</x:v>
      </x:c>
      <x:c r="N13" s="37" t="str">
        <x:v>descripcion_ambigua</x:v>
      </x:c>
      <x:c r="O13" s="37" t="str">
        <x:v>baja</x:v>
      </x:c>
      <x:c r="P13" s="38" t="str">
        <x:v>Podría no ser televisor; falta especificación normativa local.</x:v>
      </x:c>
    </x:row>
    <x:row r="14">
      <x:c r="A14" s="36" t="str">
        <x:v>INV-2025-0060</x:v>
      </x:c>
      <x:c r="B14" s="43" t="str">
        <x:v>2025-04-23</x:v>
      </x:c>
      <x:c r="C14" s="37" t="str">
        <x:v>Nordic Retail AB</x:v>
      </x:c>
      <x:c r="D14" s="37" t="str">
        <x:v>México</x:v>
      </x:c>
      <x:c r="E14" s="37" t="str">
        <x:v>CFR</x:v>
      </x:c>
      <x:c r="F14" s="37" t="str">
        <x:v>T-shirt de punto 100% algodón</x:v>
      </x:c>
      <x:c r="G14" s="37" t="str">
        <x:v>camiseta de punto de algodón</x:v>
      </x:c>
      <x:c r="H14" s="46" t="n">
        <x:v>10</x:v>
      </x:c>
      <x:c r="I14" s="49" t="n">
        <x:v>290.42</x:v>
      </x:c>
      <x:c r="J14" s="49" t="n">
        <x:v>2904.2</x:v>
      </x:c>
      <x:c r="K14" s="37" t="str">
        <x:v>610910</x:v>
      </x:c>
      <x:c r="L14" s="37" t="str">
        <x:v>610910</x:v>
      </x:c>
      <x:c r="M14" s="37" t="str">
        <x:v>correcta</x:v>
      </x:c>
      <x:c r="N14" s="37" t="str">
        <x:v>ninguno</x:v>
      </x:c>
      <x:c r="O14" s="37" t="str">
        <x:v>media</x:v>
      </x:c>
      <x:c r="P14" s="38" t="str">
        <x:v>Prenda de punto definida.</x:v>
      </x:c>
    </x:row>
    <x:row r="15">
      <x:c r="A15" s="36" t="str">
        <x:v>INV-2025-0061</x:v>
      </x:c>
      <x:c r="B15" s="43" t="str">
        <x:v>2025-04-25</x:v>
      </x:c>
      <x:c r="C15" s="37" t="str">
        <x:v>KitchenFlex Co.</x:v>
      </x:c>
      <x:c r="D15" s="37" t="str">
        <x:v>Portugal</x:v>
      </x:c>
      <x:c r="E15" s="37" t="str">
        <x:v>CIF</x:v>
      </x:c>
      <x:c r="F15" s="37" t="str">
        <x:v>Neumático radial nuevo para automóvil</x:v>
      </x:c>
      <x:c r="G15" s="37" t="str">
        <x:v>neumático para turismo</x:v>
      </x:c>
      <x:c r="H15" s="46" t="n">
        <x:v>200</x:v>
      </x:c>
      <x:c r="I15" s="49" t="n">
        <x:v>421.45</x:v>
      </x:c>
      <x:c r="J15" s="49" t="n">
        <x:v>84290</x:v>
      </x:c>
      <x:c r="K15" s="37" t="str">
        <x:v>401110</x:v>
      </x:c>
      <x:c r="L15" s="37" t="str">
        <x:v>401110</x:v>
      </x:c>
      <x:c r="M15" s="37" t="str">
        <x:v>correcta</x:v>
      </x:c>
      <x:c r="N15" s="37" t="str">
        <x:v>ninguno</x:v>
      </x:c>
      <x:c r="O15" s="37" t="str">
        <x:v>alta</x:v>
      </x:c>
      <x:c r="P15" s="38" t="str">
        <x:v>Aplicación automotriz clara.</x:v>
      </x:c>
    </x:row>
    <x:row r="16">
      <x:c r="A16" s="36" t="str">
        <x:v>INV-2025-0065</x:v>
      </x:c>
      <x:c r="B16" s="43" t="str">
        <x:v>2025-04-28</x:v>
      </x:c>
      <x:c r="C16" s="37" t="str">
        <x:v>TextilSur Ltda</x:v>
      </x:c>
      <x:c r="D16" s="37" t="str">
        <x:v>Brasil</x:v>
      </x:c>
      <x:c r="E16" s="37" t="str">
        <x:v>DAP</x:v>
      </x:c>
      <x:c r="F16" s="37" t="str">
        <x:v>Laptop 14 pulgadas, 16GB RAM, SSD 512GB</x:v>
      </x:c>
      <x:c r="G16" s="37" t="str">
        <x:v>equipo portátil para tratamiento de datos</x:v>
      </x:c>
      <x:c r="H16" s="46" t="n">
        <x:v>20</x:v>
      </x:c>
      <x:c r="I16" s="49" t="n">
        <x:v>740.05</x:v>
      </x:c>
      <x:c r="J16" s="49" t="n">
        <x:v>14801</x:v>
      </x:c>
      <x:c r="K16" s="37" t="str">
        <x:v>847130</x:v>
      </x:c>
      <x:c r="L16" s="37" t="str">
        <x:v>847130</x:v>
      </x:c>
      <x:c r="M16" s="37" t="str">
        <x:v>correcta</x:v>
      </x:c>
      <x:c r="N16" s="37" t="str">
        <x:v>ninguno</x:v>
      </x:c>
      <x:c r="O16" s="37" t="str">
        <x:v>alta</x:v>
      </x:c>
      <x:c r="P16" s="38" t="str">
        <x:v>Descripción suficientemente específica.</x:v>
      </x:c>
    </x:row>
    <x:row r="17">
      <x:c r="A17" s="36" t="str">
        <x:v>INV-2025-0069</x:v>
      </x:c>
      <x:c r="B17" s="43" t="str">
        <x:v>2025-05-06</x:v>
      </x:c>
      <x:c r="C17" s="37" t="str">
        <x:v>AgroNova SAS</x:v>
      </x:c>
      <x:c r="D17" s="37" t="str">
        <x:v>Colombia</x:v>
      </x:c>
      <x:c r="E17" s="37" t="str">
        <x:v>EXW</x:v>
      </x:c>
      <x:c r="F17" s="37" t="str">
        <x:v>Neumático radial nuevo para automóvil</x:v>
      </x:c>
      <x:c r="G17" s="37" t="str">
        <x:v>neumático para turismo</x:v>
      </x:c>
      <x:c r="H17" s="46" t="n">
        <x:v>20</x:v>
      </x:c>
      <x:c r="I17" s="49" t="n">
        <x:v>678.58</x:v>
      </x:c>
      <x:c r="J17" s="49" t="n">
        <x:v>13571.6</x:v>
      </x:c>
      <x:c r="K17" s="37" t="str">
        <x:v>401110</x:v>
      </x:c>
      <x:c r="L17" s="37" t="str">
        <x:v>401110</x:v>
      </x:c>
      <x:c r="M17" s="37" t="str">
        <x:v>correcta</x:v>
      </x:c>
      <x:c r="N17" s="37" t="str">
        <x:v>ninguno</x:v>
      </x:c>
      <x:c r="O17" s="37" t="str">
        <x:v>alta</x:v>
      </x:c>
      <x:c r="P17" s="38" t="str">
        <x:v>Aplicación automotriz clara.</x:v>
      </x:c>
    </x:row>
    <x:row r="18">
      <x:c r="A18" s="36" t="str">
        <x:v>INV-2025-0001</x:v>
      </x:c>
      <x:c r="B18" s="43" t="str">
        <x:v>2025-05-11</x:v>
      </x:c>
      <x:c r="C18" s="37" t="str">
        <x:v>Pacific Components GmbH</x:v>
      </x:c>
      <x:c r="D18" s="37" t="str">
        <x:v>Países Bajos</x:v>
      </x:c>
      <x:c r="E18" s="37" t="str">
        <x:v>FOB</x:v>
      </x:c>
      <x:c r="F18" s="37" t="str">
        <x:v>Pantalón hombre 98% algodón 2% elastano</x:v>
      </x:c>
      <x:c r="G18" s="37" t="str">
        <x:v>pantalón de algodón para hombre</x:v>
      </x:c>
      <x:c r="H18" s="46" t="n">
        <x:v>10</x:v>
      </x:c>
      <x:c r="I18" s="49" t="n">
        <x:v>705.12</x:v>
      </x:c>
      <x:c r="J18" s="49" t="n">
        <x:v>7051.2</x:v>
      </x:c>
      <x:c r="K18" s="37" t="str">
        <x:v>620342</x:v>
      </x:c>
      <x:c r="L18" s="37" t="str">
        <x:v>620342</x:v>
      </x:c>
      <x:c r="M18" s="37" t="str">
        <x:v>correcta</x:v>
      </x:c>
      <x:c r="N18" s="37" t="str">
        <x:v>ninguno</x:v>
      </x:c>
      <x:c r="O18" s="37" t="str">
        <x:v>alta</x:v>
      </x:c>
      <x:c r="P18" s="38" t="str">
        <x:v>Composición principal de algodón.</x:v>
      </x:c>
    </x:row>
    <x:row r="19">
      <x:c r="A19" s="36" t="str">
        <x:v>INV-2025-0030</x:v>
      </x:c>
      <x:c r="B19" s="43" t="str">
        <x:v>2025-05-13</x:v>
      </x:c>
      <x:c r="C19" s="37" t="str">
        <x:v>EuroTrade BV</x:v>
      </x:c>
      <x:c r="D19" s="37" t="str">
        <x:v>Portugal</x:v>
      </x:c>
      <x:c r="E19" s="37" t="str">
        <x:v>CFR</x:v>
      </x:c>
      <x:c r="F19" s="37" t="str">
        <x:v>Puré de tomate concentrado</x:v>
      </x:c>
      <x:c r="G19" s="37" t="str">
        <x:v>conserva de tomate</x:v>
      </x:c>
      <x:c r="H19" s="46" t="n">
        <x:v>30</x:v>
      </x:c>
      <x:c r="I19" s="49" t="n">
        <x:v>266.42</x:v>
      </x:c>
      <x:c r="J19" s="49" t="n">
        <x:v>7992.6</x:v>
      </x:c>
      <x:c r="K19" s="37" t="str">
        <x:v>200290</x:v>
      </x:c>
      <x:c r="L19" s="37" t="str">
        <x:v>200290</x:v>
      </x:c>
      <x:c r="M19" s="37" t="str">
        <x:v>correcta</x:v>
      </x:c>
      <x:c r="N19" s="37" t="str">
        <x:v>ninguno</x:v>
      </x:c>
      <x:c r="O19" s="37" t="str">
        <x:v>alta</x:v>
      </x:c>
      <x:c r="P19" s="38" t="str">
        <x:v>Producto procesado.</x:v>
      </x:c>
    </x:row>
    <x:row r="20">
      <x:c r="A20" s="36" t="str">
        <x:v>INV-2025-0054</x:v>
      </x:c>
      <x:c r="B20" s="43" t="str">
        <x:v>2025-05-21</x:v>
      </x:c>
      <x:c r="C20" s="37" t="str">
        <x:v>Andes Export SpA</x:v>
      </x:c>
      <x:c r="D20" s="37" t="str">
        <x:v>España</x:v>
      </x:c>
      <x:c r="E20" s="37" t="str">
        <x:v>CFR</x:v>
      </x:c>
      <x:c r="F20" s="37" t="str">
        <x:v>Pantalón hombre 98% algodón 2% elastano</x:v>
      </x:c>
      <x:c r="G20" s="37" t="str">
        <x:v>pantalón de algodón para hombre</x:v>
      </x:c>
      <x:c r="H20" s="46" t="n">
        <x:v>75</x:v>
      </x:c>
      <x:c r="I20" s="49" t="n">
        <x:v>171.69</x:v>
      </x:c>
      <x:c r="J20" s="49" t="n">
        <x:v>12876.75</x:v>
      </x:c>
      <x:c r="K20" s="37" t="str">
        <x:v>620342</x:v>
      </x:c>
      <x:c r="L20" s="37" t="str">
        <x:v>620342</x:v>
      </x:c>
      <x:c r="M20" s="37" t="str">
        <x:v>correcta</x:v>
      </x:c>
      <x:c r="N20" s="37" t="str">
        <x:v>ninguno</x:v>
      </x:c>
      <x:c r="O20" s="37" t="str">
        <x:v>media</x:v>
      </x:c>
      <x:c r="P20" s="38" t="str">
        <x:v>Composición principal de algodón.</x:v>
      </x:c>
    </x:row>
    <x:row r="21">
      <x:c r="A21" s="36" t="str">
        <x:v>INV-2025-0068</x:v>
      </x:c>
      <x:c r="B21" s="43" t="str">
        <x:v>2025-05-27</x:v>
      </x:c>
      <x:c r="C21" s="37" t="str">
        <x:v>KitchenFlex Co.</x:v>
      </x:c>
      <x:c r="D21" s="37" t="str">
        <x:v>Portugal</x:v>
      </x:c>
      <x:c r="E21" s="37" t="str">
        <x:v>CIF</x:v>
      </x:c>
      <x:c r="F21" s="37" t="str">
        <x:v>Conector eléctrico de cobre para panel industrial</x:v>
      </x:c>
      <x:c r="G21" s="37" t="str">
        <x:v>conector para circuitos eléctricos</x:v>
      </x:c>
      <x:c r="H21" s="46" t="n">
        <x:v>50</x:v>
      </x:c>
      <x:c r="I21" s="49" t="n">
        <x:v>798.27</x:v>
      </x:c>
      <x:c r="J21" s="49" t="n">
        <x:v>39913.5</x:v>
      </x:c>
      <x:c r="K21" s="37" t="str">
        <x:v>853669</x:v>
      </x:c>
      <x:c r="L21" s="37" t="str">
        <x:v>853669</x:v>
      </x:c>
      <x:c r="M21" s="37" t="str">
        <x:v>correcta</x:v>
      </x:c>
      <x:c r="N21" s="37" t="str">
        <x:v>ninguno</x:v>
      </x:c>
      <x:c r="O21" s="37" t="str">
        <x:v>media</x:v>
      </x:c>
      <x:c r="P21" s="38" t="str">
        <x:v>Confirmado por ficha técnica.</x:v>
      </x:c>
    </x:row>
    <x:row r="22">
      <x:c r="A22" s="36" t="str">
        <x:v>INV-2025-0026</x:v>
      </x:c>
      <x:c r="B22" s="43" t="str">
        <x:v>2025-05-28</x:v>
      </x:c>
      <x:c r="C22" s="37" t="str">
        <x:v>MediSupply SL</x:v>
      </x:c>
      <x:c r="D22" s="37" t="str">
        <x:v>Alemania</x:v>
      </x:c>
      <x:c r="E22" s="37" t="str">
        <x:v>CFR</x:v>
      </x:c>
      <x:c r="F22" s="37" t="str">
        <x:v>Monitor LED 27 pulgadas</x:v>
      </x:c>
      <x:c r="G22" s="37" t="str">
        <x:v>monitor sin sintonizador</x:v>
      </x:c>
      <x:c r="H22" s="46" t="n">
        <x:v>20</x:v>
      </x:c>
      <x:c r="I22" s="49" t="n">
        <x:v>489.66</x:v>
      </x:c>
      <x:c r="J22" s="49" t="n">
        <x:v>9793.2</x:v>
      </x:c>
      <x:c r="K22" s="37" t="str">
        <x:v>852872</x:v>
      </x:c>
      <x:c r="L22" s="37" t="str">
        <x:v>847130</x:v>
      </x:c>
      <x:c r="M22" s="37" t="str">
        <x:v>requiere_revision</x:v>
      </x:c>
      <x:c r="N22" s="37" t="str">
        <x:v>descripcion_ambigua</x:v>
      </x:c>
      <x:c r="O22" s="37" t="str">
        <x:v>baja</x:v>
      </x:c>
      <x:c r="P22" s="38" t="str">
        <x:v>Podría no ser televisor; falta especificación normativa local.</x:v>
      </x:c>
    </x:row>
    <x:row r="23">
      <x:c r="A23" s="36" t="str">
        <x:v>INV-2025-0038</x:v>
      </x:c>
      <x:c r="B23" s="43" t="str">
        <x:v>2025-06-15</x:v>
      </x:c>
      <x:c r="C23" s="37" t="str">
        <x:v>Pacific Components GmbH</x:v>
      </x:c>
      <x:c r="D23" s="37" t="str">
        <x:v>Perú</x:v>
      </x:c>
      <x:c r="E23" s="37" t="str">
        <x:v>DAP</x:v>
      </x:c>
      <x:c r="F23" s="37" t="str">
        <x:v>Conector eléctrico de cobre para panel industrial</x:v>
      </x:c>
      <x:c r="G23" s="37" t="str">
        <x:v>conector para circuitos eléctricos</x:v>
      </x:c>
      <x:c r="H23" s="46" t="n">
        <x:v>50</x:v>
      </x:c>
      <x:c r="I23" s="49" t="n">
        <x:v>637.07</x:v>
      </x:c>
      <x:c r="J23" s="49" t="n">
        <x:v>31853.5</x:v>
      </x:c>
      <x:c r="K23" s="37" t="str">
        <x:v>853669</x:v>
      </x:c>
      <x:c r="L23" s="37" t="str">
        <x:v>853669</x:v>
      </x:c>
      <x:c r="M23" s="37" t="str">
        <x:v>correcta</x:v>
      </x:c>
      <x:c r="N23" s="37" t="str">
        <x:v>ninguno</x:v>
      </x:c>
      <x:c r="O23" s="37" t="str">
        <x:v>alta</x:v>
      </x:c>
      <x:c r="P23" s="38" t="str">
        <x:v>Confirmado por ficha técnica.</x:v>
      </x:c>
    </x:row>
    <x:row r="24">
      <x:c r="A24" s="36" t="str">
        <x:v>INV-2025-0058</x:v>
      </x:c>
      <x:c r="B24" s="43" t="str">
        <x:v>2025-06-22</x:v>
      </x:c>
      <x:c r="C24" s="37" t="str">
        <x:v>Nordic Retail AB</x:v>
      </x:c>
      <x:c r="D24" s="37" t="str">
        <x:v>Perú</x:v>
      </x:c>
      <x:c r="E24" s="37" t="str">
        <x:v>CFR</x:v>
      </x:c>
      <x:c r="F24" s="37" t="str">
        <x:v>Estructura de acero para bodega prefabricada</x:v>
      </x:c>
      <x:c r="G24" s="37" t="str">
        <x:v>parte de construcción de acero</x:v>
      </x:c>
      <x:c r="H24" s="46" t="n">
        <x:v>75</x:v>
      </x:c>
      <x:c r="I24" s="49" t="n">
        <x:v>634.38</x:v>
      </x:c>
      <x:c r="J24" s="49" t="n">
        <x:v>47578.5</x:v>
      </x:c>
      <x:c r="K24" s="37" t="str">
        <x:v>730890</x:v>
      </x:c>
      <x:c r="L24" s="37" t="str">
        <x:v>730890</x:v>
      </x:c>
      <x:c r="M24" s="37" t="str">
        <x:v>correcta</x:v>
      </x:c>
      <x:c r="N24" s="37" t="str">
        <x:v>ninguno</x:v>
      </x:c>
      <x:c r="O24" s="37" t="str">
        <x:v>alta</x:v>
      </x:c>
      <x:c r="P24" s="38" t="str">
        <x:v>Uso estructural.</x:v>
      </x:c>
    </x:row>
    <x:row r="25">
      <x:c r="A25" s="36" t="str">
        <x:v>INV-2025-0057</x:v>
      </x:c>
      <x:c r="B25" s="43" t="str">
        <x:v>2025-06-24</x:v>
      </x:c>
      <x:c r="C25" s="37" t="str">
        <x:v>TechPort SARL</x:v>
      </x:c>
      <x:c r="D25" s="37" t="str">
        <x:v>Colombia</x:v>
      </x:c>
      <x:c r="E25" s="37" t="str">
        <x:v>FOB</x:v>
      </x:c>
      <x:c r="F25" s="37" t="str">
        <x:v>Puré de tomate concentrado</x:v>
      </x:c>
      <x:c r="G25" s="37" t="str">
        <x:v>conserva de tomate</x:v>
      </x:c>
      <x:c r="H25" s="46" t="n">
        <x:v>20</x:v>
      </x:c>
      <x:c r="I25" s="49" t="n">
        <x:v>901.56</x:v>
      </x:c>
      <x:c r="J25" s="49" t="n">
        <x:v>18031.2</x:v>
      </x:c>
      <x:c r="K25" s="37" t="str">
        <x:v>200290</x:v>
      </x:c>
      <x:c r="L25" s="37" t="str">
        <x:v>200290</x:v>
      </x:c>
      <x:c r="M25" s="37" t="str">
        <x:v>correcta</x:v>
      </x:c>
      <x:c r="N25" s="37" t="str">
        <x:v>ninguno</x:v>
      </x:c>
      <x:c r="O25" s="37" t="str">
        <x:v>media</x:v>
      </x:c>
      <x:c r="P25" s="38" t="str">
        <x:v>Producto procesado.</x:v>
      </x:c>
    </x:row>
    <x:row r="26">
      <x:c r="A26" s="36" t="str">
        <x:v>INV-2025-0005</x:v>
      </x:c>
      <x:c r="B26" s="43" t="str">
        <x:v>2025-06-27</x:v>
      </x:c>
      <x:c r="C26" s="37" t="str">
        <x:v>EuroTrade BV</x:v>
      </x:c>
      <x:c r="D26" s="37" t="str">
        <x:v>España</x:v>
      </x:c>
      <x:c r="E26" s="37" t="str">
        <x:v>DAP</x:v>
      </x:c>
      <x:c r="F26" s="37" t="str">
        <x:v>Cargador para notebook 65W</x:v>
      </x:c>
      <x:c r="G26" s="37" t="str">
        <x:v>fuente de alimentación para portátil</x:v>
      </x:c>
      <x:c r="H26" s="46" t="n">
        <x:v>50</x:v>
      </x:c>
      <x:c r="I26" s="49" t="n">
        <x:v>909.46</x:v>
      </x:c>
      <x:c r="J26" s="49" t="n">
        <x:v>45473</x:v>
      </x:c>
      <x:c r="K26" s="37" t="str">
        <x:v>850440</x:v>
      </x:c>
      <x:c r="L26" s="37" t="str">
        <x:v>850440</x:v>
      </x:c>
      <x:c r="M26" s="37" t="str">
        <x:v>correcta</x:v>
      </x:c>
      <x:c r="N26" s="37" t="str">
        <x:v>ninguno</x:v>
      </x:c>
      <x:c r="O26" s="37" t="str">
        <x:v>alta</x:v>
      </x:c>
      <x:c r="P26" s="38" t="str">
        <x:v>Convertidor estático.</x:v>
      </x:c>
    </x:row>
    <x:row r="27">
      <x:c r="A27" s="36" t="str">
        <x:v>INV-2025-0024</x:v>
      </x:c>
      <x:c r="B27" s="43" t="str">
        <x:v>2025-06-28</x:v>
      </x:c>
      <x:c r="C27" s="37" t="str">
        <x:v>Andes Export SpA</x:v>
      </x:c>
      <x:c r="D27" s="37" t="str">
        <x:v>México</x:v>
      </x:c>
      <x:c r="E27" s="37" t="str">
        <x:v>CFR</x:v>
      </x:c>
      <x:c r="F27" s="37" t="str">
        <x:v>Pantalón hombre 98% algodón 2% elastano</x:v>
      </x:c>
      <x:c r="G27" s="37" t="str">
        <x:v>pantalón de algodón para hombre</x:v>
      </x:c>
      <x:c r="H27" s="46" t="n">
        <x:v>50</x:v>
      </x:c>
      <x:c r="I27" s="49" t="n">
        <x:v>215.4</x:v>
      </x:c>
      <x:c r="J27" s="49" t="n">
        <x:v>10770</x:v>
      </x:c>
      <x:c r="K27" s="37" t="str">
        <x:v>620342</x:v>
      </x:c>
      <x:c r="L27" s="37" t="str">
        <x:v>620342</x:v>
      </x:c>
      <x:c r="M27" s="37" t="str">
        <x:v>correcta</x:v>
      </x:c>
      <x:c r="N27" s="37" t="str">
        <x:v>ninguno</x:v>
      </x:c>
      <x:c r="O27" s="37" t="str">
        <x:v>alta</x:v>
      </x:c>
      <x:c r="P27" s="38" t="str">
        <x:v>Composición principal de algodón.</x:v>
      </x:c>
    </x:row>
    <x:row r="28">
      <x:c r="A28" s="36" t="str">
        <x:v>INV-2025-0017</x:v>
      </x:c>
      <x:c r="B28" s="43" t="str">
        <x:v>2025-06-29</x:v>
      </x:c>
      <x:c r="C28" s="37" t="str">
        <x:v>EuroTrade BV</x:v>
      </x:c>
      <x:c r="D28" s="37" t="str">
        <x:v>Perú</x:v>
      </x:c>
      <x:c r="E28" s="37" t="str">
        <x:v>DAP</x:v>
      </x:c>
      <x:c r="F28" s="37" t="str">
        <x:v>Pantalón hombre 98% algodón 2% elastano</x:v>
      </x:c>
      <x:c r="G28" s="37" t="str">
        <x:v>pantalón de algodón para hombre</x:v>
      </x:c>
      <x:c r="H28" s="46" t="n">
        <x:v>75</x:v>
      </x:c>
      <x:c r="I28" s="49" t="n">
        <x:v>730.75</x:v>
      </x:c>
      <x:c r="J28" s="49" t="n">
        <x:v>54806.25</x:v>
      </x:c>
      <x:c r="K28" s="37" t="str">
        <x:v>620342</x:v>
      </x:c>
      <x:c r="L28" s="37" t="str">
        <x:v>620342</x:v>
      </x:c>
      <x:c r="M28" s="37" t="str">
        <x:v>correcta</x:v>
      </x:c>
      <x:c r="N28" s="37" t="str">
        <x:v>ninguno</x:v>
      </x:c>
      <x:c r="O28" s="37" t="str">
        <x:v>alta</x:v>
      </x:c>
      <x:c r="P28" s="38" t="str">
        <x:v>Composición principal de algodón.</x:v>
      </x:c>
    </x:row>
    <x:row r="29">
      <x:c r="A29" s="36" t="str">
        <x:v>INV-2025-0048</x:v>
      </x:c>
      <x:c r="B29" s="43" t="str">
        <x:v>2025-07-06</x:v>
      </x:c>
      <x:c r="C29" s="37" t="str">
        <x:v>KitchenFlex Co.</x:v>
      </x:c>
      <x:c r="D29" s="37" t="str">
        <x:v>Italia</x:v>
      </x:c>
      <x:c r="E29" s="37" t="str">
        <x:v>CFR</x:v>
      </x:c>
      <x:c r="F29" s="37" t="str">
        <x:v>Paletas de madera tratada para carga</x:v>
      </x:c>
      <x:c r="G29" s="37" t="str">
        <x:v>plataformas de carga de madera</x:v>
      </x:c>
      <x:c r="H29" s="46" t="n">
        <x:v>50</x:v>
      </x:c>
      <x:c r="I29" s="49" t="n">
        <x:v>634.42</x:v>
      </x:c>
      <x:c r="J29" s="49" t="n">
        <x:v>31721</x:v>
      </x:c>
      <x:c r="K29" s="37" t="str">
        <x:v>441520</x:v>
      </x:c>
      <x:c r="L29" s="37" t="str">
        <x:v>441520</x:v>
      </x:c>
      <x:c r="M29" s="37" t="str">
        <x:v>correcta</x:v>
      </x:c>
      <x:c r="N29" s="37" t="str">
        <x:v>ninguno</x:v>
      </x:c>
      <x:c r="O29" s="37" t="str">
        <x:v>alta</x:v>
      </x:c>
      <x:c r="P29" s="38" t="str">
        <x:v>Uso logístico claro.</x:v>
      </x:c>
    </x:row>
    <x:row r="30">
      <x:c r="A30" s="36" t="str">
        <x:v>INV-2025-0059</x:v>
      </x:c>
      <x:c r="B30" s="43" t="str">
        <x:v>2025-07-19</x:v>
      </x:c>
      <x:c r="C30" s="37" t="str">
        <x:v>TextilSur Ltda</x:v>
      </x:c>
      <x:c r="D30" s="37" t="str">
        <x:v>México</x:v>
      </x:c>
      <x:c r="E30" s="37" t="str">
        <x:v>CFR</x:v>
      </x:c>
      <x:c r="F30" s="37" t="str">
        <x:v>Paletas de madera tratada para carga</x:v>
      </x:c>
      <x:c r="G30" s="37" t="str">
        <x:v>plataformas de carga de madera</x:v>
      </x:c>
      <x:c r="H30" s="46" t="n">
        <x:v>150</x:v>
      </x:c>
      <x:c r="I30" s="49" t="n">
        <x:v>632.52</x:v>
      </x:c>
      <x:c r="J30" s="49" t="n">
        <x:v>94878</x:v>
      </x:c>
      <x:c r="K30" s="37" t="str">
        <x:v>441520</x:v>
      </x:c>
      <x:c r="L30" s="37" t="str">
        <x:v>441520</x:v>
      </x:c>
      <x:c r="M30" s="37" t="str">
        <x:v>correcta</x:v>
      </x:c>
      <x:c r="N30" s="37" t="str">
        <x:v>ninguno</x:v>
      </x:c>
      <x:c r="O30" s="37" t="str">
        <x:v>media</x:v>
      </x:c>
      <x:c r="P30" s="38" t="str">
        <x:v>Uso logístico claro.</x:v>
      </x:c>
    </x:row>
    <x:row r="31">
      <x:c r="A31" s="36" t="str">
        <x:v>INV-2025-0064</x:v>
      </x:c>
      <x:c r="B31" s="43" t="str">
        <x:v>2025-07-21</x:v>
      </x:c>
      <x:c r="C31" s="37" t="str">
        <x:v>MediSupply SL</x:v>
      </x:c>
      <x:c r="D31" s="37" t="str">
        <x:v>Italia</x:v>
      </x:c>
      <x:c r="E31" s="37" t="str">
        <x:v>CIF</x:v>
      </x:c>
      <x:c r="F31" s="37" t="str">
        <x:v>Bolsas plásticas de empaque PE para retail</x:v>
      </x:c>
      <x:c r="G31" s="37" t="str">
        <x:v>bolsas de polímero de etileno</x:v>
      </x:c>
      <x:c r="H31" s="46" t="n">
        <x:v>50</x:v>
      </x:c>
      <x:c r="I31" s="49" t="n">
        <x:v>683.13</x:v>
      </x:c>
      <x:c r="J31" s="49" t="n">
        <x:v>34156.5</x:v>
      </x:c>
      <x:c r="K31" s="37" t="str">
        <x:v>392321</x:v>
      </x:c>
      <x:c r="L31" s="37" t="str">
        <x:v>392321</x:v>
      </x:c>
      <x:c r="M31" s="37" t="str">
        <x:v>correcta</x:v>
      </x:c>
      <x:c r="N31" s="37" t="str">
        <x:v>ninguno</x:v>
      </x:c>
      <x:c r="O31" s="37" t="str">
        <x:v>alta</x:v>
      </x:c>
      <x:c r="P31" s="38" t="str">
        <x:v>Envase plástico liviano.</x:v>
      </x:c>
    </x:row>
    <x:row r="32">
      <x:c r="A32" s="36" t="str">
        <x:v>INV-2025-0012</x:v>
      </x:c>
      <x:c r="B32" s="43" t="str">
        <x:v>2025-07-30</x:v>
      </x:c>
      <x:c r="C32" s="37" t="str">
        <x:v>AgroNova SAS</x:v>
      </x:c>
      <x:c r="D32" s="37" t="str">
        <x:v>España</x:v>
      </x:c>
      <x:c r="E32" s="37" t="str">
        <x:v>CIF</x:v>
      </x:c>
      <x:c r="F32" s="37" t="str">
        <x:v>Café tostado molido en bolsas de 500 g</x:v>
      </x:c>
      <x:c r="G32" s="37" t="str">
        <x:v>café tostado sin descafeinar</x:v>
      </x:c>
      <x:c r="H32" s="46" t="n">
        <x:v>10</x:v>
      </x:c>
      <x:c r="I32" s="49" t="n">
        <x:v>765.28</x:v>
      </x:c>
      <x:c r="J32" s="49" t="n">
        <x:v>7652.8</x:v>
      </x:c>
      <x:c r="K32" s="37" t="str">
        <x:v>090121</x:v>
      </x:c>
      <x:c r="L32" s="37" t="str">
        <x:v>090121</x:v>
      </x:c>
      <x:c r="M32" s="37" t="str">
        <x:v>correcta</x:v>
      </x:c>
      <x:c r="N32" s="37" t="str">
        <x:v>ninguno</x:v>
      </x:c>
      <x:c r="O32" s="37" t="str">
        <x:v>media</x:v>
      </x:c>
      <x:c r="P32" s="38" t="str">
        <x:v>Presentación comercial no cambia la partida.</x:v>
      </x:c>
    </x:row>
    <x:row r="33">
      <x:c r="A33" s="36" t="str">
        <x:v>INV-2025-0037</x:v>
      </x:c>
      <x:c r="B33" s="43" t="str">
        <x:v>2025-08-08</x:v>
      </x:c>
      <x:c r="C33" s="37" t="str">
        <x:v>TechPort SARL</x:v>
      </x:c>
      <x:c r="D33" s="37" t="str">
        <x:v>México</x:v>
      </x:c>
      <x:c r="E33" s="37" t="str">
        <x:v>CFR</x:v>
      </x:c>
      <x:c r="F33" s="37" t="str">
        <x:v>Bolsas plásticas de empaque PE para retail</x:v>
      </x:c>
      <x:c r="G33" s="37" t="str">
        <x:v>bolsas de polímero de etileno</x:v>
      </x:c>
      <x:c r="H33" s="46" t="n">
        <x:v>10</x:v>
      </x:c>
      <x:c r="I33" s="49" t="n">
        <x:v>589.36</x:v>
      </x:c>
      <x:c r="J33" s="49" t="n">
        <x:v>5893.6</x:v>
      </x:c>
      <x:c r="K33" s="37" t="str">
        <x:v>392321</x:v>
      </x:c>
      <x:c r="L33" s="37" t="str">
        <x:v>392321</x:v>
      </x:c>
      <x:c r="M33" s="37" t="str">
        <x:v>correcta</x:v>
      </x:c>
      <x:c r="N33" s="37" t="str">
        <x:v>ninguno</x:v>
      </x:c>
      <x:c r="O33" s="37" t="str">
        <x:v>media</x:v>
      </x:c>
      <x:c r="P33" s="38" t="str">
        <x:v>Envase plástico liviano.</x:v>
      </x:c>
    </x:row>
    <x:row r="34">
      <x:c r="A34" s="36" t="str">
        <x:v>INV-2025-0014</x:v>
      </x:c>
      <x:c r="B34" s="43" t="str">
        <x:v>2025-08-13</x:v>
      </x:c>
      <x:c r="C34" s="37" t="str">
        <x:v>TechPort SARL</x:v>
      </x:c>
      <x:c r="D34" s="37" t="str">
        <x:v>Italia</x:v>
      </x:c>
      <x:c r="E34" s="37" t="str">
        <x:v>EXW</x:v>
      </x:c>
      <x:c r="F34" s="37" t="str">
        <x:v>Café tostado molido en bolsas de 500 g</x:v>
      </x:c>
      <x:c r="G34" s="37" t="str">
        <x:v>café tostado sin descafeinar</x:v>
      </x:c>
      <x:c r="H34" s="46" t="n">
        <x:v>75</x:v>
      </x:c>
      <x:c r="I34" s="49" t="n">
        <x:v>710.3</x:v>
      </x:c>
      <x:c r="J34" s="49" t="n">
        <x:v>53272.5</x:v>
      </x:c>
      <x:c r="K34" s="37" t="str">
        <x:v>090121</x:v>
      </x:c>
      <x:c r="L34" s="37" t="str">
        <x:v>090121</x:v>
      </x:c>
      <x:c r="M34" s="37" t="str">
        <x:v>correcta</x:v>
      </x:c>
      <x:c r="N34" s="37" t="str">
        <x:v>ninguno</x:v>
      </x:c>
      <x:c r="O34" s="37" t="str">
        <x:v>alta</x:v>
      </x:c>
      <x:c r="P34" s="38" t="str">
        <x:v>Presentación comercial no cambia la partida.</x:v>
      </x:c>
    </x:row>
    <x:row r="35">
      <x:c r="A35" s="36" t="str">
        <x:v>INV-2025-0028</x:v>
      </x:c>
      <x:c r="B35" s="43" t="str">
        <x:v>2025-09-02</x:v>
      </x:c>
      <x:c r="C35" s="37" t="str">
        <x:v>Andes Export SpA</x:v>
      </x:c>
      <x:c r="D35" s="37" t="str">
        <x:v>España</x:v>
      </x:c>
      <x:c r="E35" s="37" t="str">
        <x:v>FOB</x:v>
      </x:c>
      <x:c r="F35" s="37" t="str">
        <x:v>Puré de tomate concentrado</x:v>
      </x:c>
      <x:c r="G35" s="37" t="str">
        <x:v>conserva de tomate</x:v>
      </x:c>
      <x:c r="H35" s="46" t="n">
        <x:v>100</x:v>
      </x:c>
      <x:c r="I35" s="49" t="n">
        <x:v>403.84</x:v>
      </x:c>
      <x:c r="J35" s="49" t="n">
        <x:v>40384</x:v>
      </x:c>
      <x:c r="K35" s="37" t="str">
        <x:v>200290</x:v>
      </x:c>
      <x:c r="L35" s="37" t="str">
        <x:v>200290</x:v>
      </x:c>
      <x:c r="M35" s="37" t="str">
        <x:v>correcta</x:v>
      </x:c>
      <x:c r="N35" s="37" t="str">
        <x:v>ninguno</x:v>
      </x:c>
      <x:c r="O35" s="37" t="str">
        <x:v>media</x:v>
      </x:c>
      <x:c r="P35" s="38" t="str">
        <x:v>Producto procesado.</x:v>
      </x:c>
    </x:row>
    <x:row r="36">
      <x:c r="A36" s="36" t="str">
        <x:v>INV-2025-0051</x:v>
      </x:c>
      <x:c r="B36" s="43" t="str">
        <x:v>2025-09-03</x:v>
      </x:c>
      <x:c r="C36" s="37" t="str">
        <x:v>Pacific Components GmbH</x:v>
      </x:c>
      <x:c r="D36" s="37" t="str">
        <x:v>Alemania</x:v>
      </x:c>
      <x:c r="E36" s="37" t="str">
        <x:v>DAP</x:v>
      </x:c>
      <x:c r="F36" s="37" t="str">
        <x:v>Pantalón hombre 98% algodón 2% elastano</x:v>
      </x:c>
      <x:c r="G36" s="37" t="str">
        <x:v>pantalón de algodón para hombre</x:v>
      </x:c>
      <x:c r="H36" s="46" t="n">
        <x:v>150</x:v>
      </x:c>
      <x:c r="I36" s="49" t="n">
        <x:v>828.88</x:v>
      </x:c>
      <x:c r="J36" s="49" t="n">
        <x:v>124332</x:v>
      </x:c>
      <x:c r="K36" s="37" t="str">
        <x:v>620342</x:v>
      </x:c>
      <x:c r="L36" s="37" t="str">
        <x:v>620342</x:v>
      </x:c>
      <x:c r="M36" s="37" t="str">
        <x:v>correcta</x:v>
      </x:c>
      <x:c r="N36" s="37" t="str">
        <x:v>ninguno</x:v>
      </x:c>
      <x:c r="O36" s="37" t="str">
        <x:v>media</x:v>
      </x:c>
      <x:c r="P36" s="38" t="str">
        <x:v>Composición principal de algodón.</x:v>
      </x:c>
    </x:row>
    <x:row r="37">
      <x:c r="A37" s="36" t="str">
        <x:v>INV-2025-0027</x:v>
      </x:c>
      <x:c r="B37" s="43" t="str">
        <x:v>2025-09-05</x:v>
      </x:c>
      <x:c r="C37" s="37" t="str">
        <x:v>Nordic Retail AB</x:v>
      </x:c>
      <x:c r="D37" s="37" t="str">
        <x:v>Alemania</x:v>
      </x:c>
      <x:c r="E37" s="37" t="str">
        <x:v>FOB</x:v>
      </x:c>
      <x:c r="F37" s="37" t="str">
        <x:v>Cargador para notebook 65W</x:v>
      </x:c>
      <x:c r="G37" s="37" t="str">
        <x:v>fuente de alimentación para portátil</x:v>
      </x:c>
      <x:c r="H37" s="46" t="n">
        <x:v>200</x:v>
      </x:c>
      <x:c r="I37" s="49" t="n">
        <x:v>232.74</x:v>
      </x:c>
      <x:c r="J37" s="49" t="n">
        <x:v>46548</x:v>
      </x:c>
      <x:c r="K37" s="37" t="str">
        <x:v>850440</x:v>
      </x:c>
      <x:c r="L37" s="37" t="str">
        <x:v>850440</x:v>
      </x:c>
      <x:c r="M37" s="37" t="str">
        <x:v>correcta</x:v>
      </x:c>
      <x:c r="N37" s="37" t="str">
        <x:v>ninguno</x:v>
      </x:c>
      <x:c r="O37" s="37" t="str">
        <x:v>alta</x:v>
      </x:c>
      <x:c r="P37" s="38" t="str">
        <x:v>Convertidor estático.</x:v>
      </x:c>
    </x:row>
    <x:row r="38">
      <x:c r="A38" s="36" t="str">
        <x:v>INV-2025-0063</x:v>
      </x:c>
      <x:c r="B38" s="43" t="str">
        <x:v>2025-09-06</x:v>
      </x:c>
      <x:c r="C38" s="37" t="str">
        <x:v>TechPort SARL</x:v>
      </x:c>
      <x:c r="D38" s="37" t="str">
        <x:v>España</x:v>
      </x:c>
      <x:c r="E38" s="37" t="str">
        <x:v>DAP</x:v>
      </x:c>
      <x:c r="F38" s="37" t="str">
        <x:v>Cargador para notebook 65W</x:v>
      </x:c>
      <x:c r="G38" s="37" t="str">
        <x:v>fuente de alimentación para portátil</x:v>
      </x:c>
      <x:c r="H38" s="46" t="n">
        <x:v>10</x:v>
      </x:c>
      <x:c r="I38" s="49" t="n">
        <x:v>46.29</x:v>
      </x:c>
      <x:c r="J38" s="49" t="n">
        <x:v>462.9</x:v>
      </x:c>
      <x:c r="K38" s="37" t="str">
        <x:v>850440</x:v>
      </x:c>
      <x:c r="L38" s="37" t="str">
        <x:v>850440</x:v>
      </x:c>
      <x:c r="M38" s="37" t="str">
        <x:v>correcta</x:v>
      </x:c>
      <x:c r="N38" s="37" t="str">
        <x:v>ninguno</x:v>
      </x:c>
      <x:c r="O38" s="37" t="str">
        <x:v>media</x:v>
      </x:c>
      <x:c r="P38" s="38" t="str">
        <x:v>Convertidor estático.</x:v>
      </x:c>
    </x:row>
    <x:row r="39">
      <x:c r="A39" s="36" t="str">
        <x:v>INV-2025-0021</x:v>
      </x:c>
      <x:c r="B39" s="43" t="str">
        <x:v>2025-09-11</x:v>
      </x:c>
      <x:c r="C39" s="37" t="str">
        <x:v>EuroTrade BV</x:v>
      </x:c>
      <x:c r="D39" s="37" t="str">
        <x:v>Brasil</x:v>
      </x:c>
      <x:c r="E39" s="37" t="str">
        <x:v>CIF</x:v>
      </x:c>
      <x:c r="F39" s="37" t="str">
        <x:v>Café tostado molido en bolsas de 500 g</x:v>
      </x:c>
      <x:c r="G39" s="37" t="str">
        <x:v>café tostado sin descafeinar</x:v>
      </x:c>
      <x:c r="H39" s="46" t="n">
        <x:v>20</x:v>
      </x:c>
      <x:c r="I39" s="49" t="n">
        <x:v>83.66</x:v>
      </x:c>
      <x:c r="J39" s="49" t="n">
        <x:v>1673.2</x:v>
      </x:c>
      <x:c r="K39" s="37" t="str">
        <x:v>090121</x:v>
      </x:c>
      <x:c r="L39" s="37" t="str">
        <x:v>090121</x:v>
      </x:c>
      <x:c r="M39" s="37" t="str">
        <x:v>correcta</x:v>
      </x:c>
      <x:c r="N39" s="37" t="str">
        <x:v>ninguno</x:v>
      </x:c>
      <x:c r="O39" s="37" t="str">
        <x:v>alta</x:v>
      </x:c>
      <x:c r="P39" s="38" t="str">
        <x:v>Presentación comercial no cambia la partida.</x:v>
      </x:c>
    </x:row>
    <x:row r="40">
      <x:c r="A40" s="36" t="str">
        <x:v>INV-2025-0053</x:v>
      </x:c>
      <x:c r="B40" s="43" t="str">
        <x:v>2025-09-23</x:v>
      </x:c>
      <x:c r="C40" s="37" t="str">
        <x:v>Nordic Retail AB</x:v>
      </x:c>
      <x:c r="D40" s="37" t="str">
        <x:v>Brasil</x:v>
      </x:c>
      <x:c r="E40" s="37" t="str">
        <x:v>EXW</x:v>
      </x:c>
      <x:c r="F40" s="37" t="str">
        <x:v>Tejido de algodón estampado 150 g/m2 en rollos</x:v>
      </x:c>
      <x:c r="G40" s="37" t="str">
        <x:v>tejido algodón estampado</x:v>
      </x:c>
      <x:c r="H40" s="46" t="n">
        <x:v>75</x:v>
      </x:c>
      <x:c r="I40" s="49" t="n">
        <x:v>335.21</x:v>
      </x:c>
      <x:c r="J40" s="49" t="n">
        <x:v>25140.75</x:v>
      </x:c>
      <x:c r="K40" s="37" t="str">
        <x:v>520852</x:v>
      </x:c>
      <x:c r="L40" s="37" t="str">
        <x:v>520852</x:v>
      </x:c>
      <x:c r="M40" s="37" t="str">
        <x:v>correcta</x:v>
      </x:c>
      <x:c r="N40" s="37" t="str">
        <x:v>ninguno</x:v>
      </x:c>
      <x:c r="O40" s="37" t="str">
        <x:v>alta</x:v>
      </x:c>
      <x:c r="P40" s="38" t="str">
        <x:v>Atributos técnicos completos.</x:v>
      </x:c>
    </x:row>
    <x:row r="41">
      <x:c r="A41" s="36" t="str">
        <x:v>INV-2025-0055</x:v>
      </x:c>
      <x:c r="B41" s="43" t="str">
        <x:v>2025-09-24</x:v>
      </x:c>
      <x:c r="C41" s="37" t="str">
        <x:v>EuroTrade BV</x:v>
      </x:c>
      <x:c r="D41" s="37" t="str">
        <x:v>Italia</x:v>
      </x:c>
      <x:c r="E41" s="37" t="str">
        <x:v>CFR</x:v>
      </x:c>
      <x:c r="F41" s="37" t="str">
        <x:v>Vitamina C grado alimentario en polvo</x:v>
      </x:c>
      <x:c r="G41" s="37" t="str">
        <x:v>ácido ascórbico</x:v>
      </x:c>
      <x:c r="H41" s="46" t="n">
        <x:v>100</x:v>
      </x:c>
      <x:c r="I41" s="49" t="n">
        <x:v>415.98</x:v>
      </x:c>
      <x:c r="J41" s="49" t="n">
        <x:v>41598</x:v>
      </x:c>
      <x:c r="K41" s="37" t="str">
        <x:v>210690</x:v>
      </x:c>
      <x:c r="L41" s="37" t="str">
        <x:v>293627</x:v>
      </x:c>
      <x:c r="M41" s="37" t="str">
        <x:v>corregida</x:v>
      </x:c>
      <x:c r="N41" s="37" t="str">
        <x:v>codigo_demasiado_general</x:v>
      </x:c>
      <x:c r="O41" s="37" t="str">
        <x:v>baja</x:v>
      </x:c>
      <x:c r="P41" s="38" t="str">
        <x:v>Se corrigió a partida química específica.</x:v>
      </x:c>
    </x:row>
    <x:row r="42">
      <x:c r="A42" s="36" t="str">
        <x:v>INV-2025-0035</x:v>
      </x:c>
      <x:c r="B42" s="43" t="str">
        <x:v>2025-10-04</x:v>
      </x:c>
      <x:c r="C42" s="37" t="str">
        <x:v>TextilSur Ltda</x:v>
      </x:c>
      <x:c r="D42" s="37" t="str">
        <x:v>Chile</x:v>
      </x:c>
      <x:c r="E42" s="37" t="str">
        <x:v>CFR</x:v>
      </x:c>
      <x:c r="F42" s="37" t="str">
        <x:v>Set de recipientes plásticos reutilizables para cocina</x:v>
      </x:c>
      <x:c r="G42" s="37" t="str">
        <x:v>artículos domésticos de plástico</x:v>
      </x:c>
      <x:c r="H42" s="46" t="n">
        <x:v>200</x:v>
      </x:c>
      <x:c r="I42" s="49" t="n">
        <x:v>478.95</x:v>
      </x:c>
      <x:c r="J42" s="49" t="n">
        <x:v>95790</x:v>
      </x:c>
      <x:c r="K42" s="37" t="str">
        <x:v>392321</x:v>
      </x:c>
      <x:c r="L42" s="37" t="str">
        <x:v>392410</x:v>
      </x:c>
      <x:c r="M42" s="37" t="str">
        <x:v>corregida</x:v>
      </x:c>
      <x:c r="N42" s="37" t="str">
        <x:v>categoria_incorrecta</x:v>
      </x:c>
      <x:c r="O42" s="37" t="str">
        <x:v>baja</x:v>
      </x:c>
      <x:c r="P42" s="38" t="str">
        <x:v>Se corrigió desde bolsas plásticas a uso doméstico.</x:v>
      </x:c>
    </x:row>
    <x:row r="43">
      <x:c r="A43" s="36" t="str">
        <x:v>INV-2025-0041</x:v>
      </x:c>
      <x:c r="B43" s="43" t="str">
        <x:v>2025-10-11</x:v>
      </x:c>
      <x:c r="C43" s="37" t="str">
        <x:v>AgroNova SAS</x:v>
      </x:c>
      <x:c r="D43" s="37" t="str">
        <x:v>México</x:v>
      </x:c>
      <x:c r="E43" s="37" t="str">
        <x:v>CFR</x:v>
      </x:c>
      <x:c r="F43" s="37" t="str">
        <x:v>Bolso de mano femenino con exterior textil</x:v>
      </x:c>
      <x:c r="G43" s="37" t="str">
        <x:v>bolso de mano</x:v>
      </x:c>
      <x:c r="H43" s="46" t="n">
        <x:v>30</x:v>
      </x:c>
      <x:c r="I43" s="49" t="n">
        <x:v>417.68</x:v>
      </x:c>
      <x:c r="J43" s="49" t="n">
        <x:v>12530.4</x:v>
      </x:c>
      <x:c r="K43" s="37" t="str">
        <x:v>420222</x:v>
      </x:c>
      <x:c r="L43" s="37" t="str">
        <x:v>420222</x:v>
      </x:c>
      <x:c r="M43" s="37" t="str">
        <x:v>correcta</x:v>
      </x:c>
      <x:c r="N43" s="37" t="str">
        <x:v>ninguno</x:v>
      </x:c>
      <x:c r="O43" s="37" t="str">
        <x:v>alta</x:v>
      </x:c>
      <x:c r="P43" s="38" t="str">
        <x:v>Material exterior compatible.</x:v>
      </x:c>
    </x:row>
    <x:row r="44">
      <x:c r="A44" s="36" t="str">
        <x:v>INV-2025-0067</x:v>
      </x:c>
      <x:c r="B44" s="43" t="str">
        <x:v>2025-10-13</x:v>
      </x:c>
      <x:c r="C44" s="37" t="str">
        <x:v>MediSupply SL</x:v>
      </x:c>
      <x:c r="D44" s="37" t="str">
        <x:v>Países Bajos</x:v>
      </x:c>
      <x:c r="E44" s="37" t="str">
        <x:v>DAP</x:v>
      </x:c>
      <x:c r="F44" s="37" t="str">
        <x:v>Neumático radial nuevo para automóvil</x:v>
      </x:c>
      <x:c r="G44" s="37" t="str">
        <x:v>neumático para turismo</x:v>
      </x:c>
      <x:c r="H44" s="46" t="n">
        <x:v>150</x:v>
      </x:c>
      <x:c r="I44" s="49" t="n">
        <x:v>789.46</x:v>
      </x:c>
      <x:c r="J44" s="49" t="n">
        <x:v>118419</x:v>
      </x:c>
      <x:c r="K44" s="37" t="str">
        <x:v>401110</x:v>
      </x:c>
      <x:c r="L44" s="37" t="str">
        <x:v>401110</x:v>
      </x:c>
      <x:c r="M44" s="37" t="str">
        <x:v>correcta</x:v>
      </x:c>
      <x:c r="N44" s="37" t="str">
        <x:v>ninguno</x:v>
      </x:c>
      <x:c r="O44" s="37" t="str">
        <x:v>media</x:v>
      </x:c>
      <x:c r="P44" s="38" t="str">
        <x:v>Aplicación automotriz clara.</x:v>
      </x:c>
    </x:row>
    <x:row r="45">
      <x:c r="A45" s="36" t="str">
        <x:v>INV-2025-0034</x:v>
      </x:c>
      <x:c r="B45" s="43" t="str">
        <x:v>2025-10-29</x:v>
      </x:c>
      <x:c r="C45" s="37" t="str">
        <x:v>KitchenFlex Co.</x:v>
      </x:c>
      <x:c r="D45" s="37" t="str">
        <x:v>Chile</x:v>
      </x:c>
      <x:c r="E45" s="37" t="str">
        <x:v>EXW</x:v>
      </x:c>
      <x:c r="F45" s="37" t="str">
        <x:v>Bolso de mano femenino con exterior textil</x:v>
      </x:c>
      <x:c r="G45" s="37" t="str">
        <x:v>bolso de mano</x:v>
      </x:c>
      <x:c r="H45" s="46" t="n">
        <x:v>50</x:v>
      </x:c>
      <x:c r="I45" s="49" t="n">
        <x:v>920.35</x:v>
      </x:c>
      <x:c r="J45" s="49" t="n">
        <x:v>46017.5</x:v>
      </x:c>
      <x:c r="K45" s="37" t="str">
        <x:v>420222</x:v>
      </x:c>
      <x:c r="L45" s="37" t="str">
        <x:v>420222</x:v>
      </x:c>
      <x:c r="M45" s="37" t="str">
        <x:v>correcta</x:v>
      </x:c>
      <x:c r="N45" s="37" t="str">
        <x:v>ninguno</x:v>
      </x:c>
      <x:c r="O45" s="37" t="str">
        <x:v>alta</x:v>
      </x:c>
      <x:c r="P45" s="38" t="str">
        <x:v>Material exterior compatible.</x:v>
      </x:c>
    </x:row>
    <x:row r="46">
      <x:c r="A46" s="36" t="str">
        <x:v>INV-2025-0016</x:v>
      </x:c>
      <x:c r="B46" s="43" t="str">
        <x:v>2025-11-07</x:v>
      </x:c>
      <x:c r="C46" s="37" t="str">
        <x:v>MediSupply SL</x:v>
      </x:c>
      <x:c r="D46" s="37" t="str">
        <x:v>Brasil</x:v>
      </x:c>
      <x:c r="E46" s="37" t="str">
        <x:v>EXW</x:v>
      </x:c>
      <x:c r="F46" s="37" t="str">
        <x:v>Cafetera eléctrica programable</x:v>
      </x:c>
      <x:c r="G46" s="37" t="str">
        <x:v>aparato eléctrico para preparar café</x:v>
      </x:c>
      <x:c r="H46" s="46" t="n">
        <x:v>20</x:v>
      </x:c>
      <x:c r="I46" s="49" t="n">
        <x:v>367.07</x:v>
      </x:c>
      <x:c r="J46" s="49" t="n">
        <x:v>7341.4</x:v>
      </x:c>
      <x:c r="K46" s="37" t="str">
        <x:v>851671</x:v>
      </x:c>
      <x:c r="L46" s="37" t="str">
        <x:v>851671</x:v>
      </x:c>
      <x:c r="M46" s="37" t="str">
        <x:v>correcta</x:v>
      </x:c>
      <x:c r="N46" s="37" t="str">
        <x:v>ninguno</x:v>
      </x:c>
      <x:c r="O46" s="37" t="str">
        <x:v>alta</x:v>
      </x:c>
      <x:c r="P46" s="38" t="str">
        <x:v>Electrodoméstico.</x:v>
      </x:c>
    </x:row>
    <x:row r="47">
      <x:c r="A47" s="36" t="str">
        <x:v>INV-2025-0043</x:v>
      </x:c>
      <x:c r="B47" s="43" t="str">
        <x:v>2025-11-11</x:v>
      </x:c>
      <x:c r="C47" s="37" t="str">
        <x:v>Pacific Components GmbH</x:v>
      </x:c>
      <x:c r="D47" s="37" t="str">
        <x:v>Colombia</x:v>
      </x:c>
      <x:c r="E47" s="37" t="str">
        <x:v>CIF</x:v>
      </x:c>
      <x:c r="F47" s="37" t="str">
        <x:v>Sérum hidratante facial con ácido hialurónico</x:v>
      </x:c>
      <x:c r="G47" s="37" t="str">
        <x:v>preparación cosmética para cuidado de la piel</x:v>
      </x:c>
      <x:c r="H47" s="46" t="n">
        <x:v>30</x:v>
      </x:c>
      <x:c r="I47" s="49" t="n">
        <x:v>260.55</x:v>
      </x:c>
      <x:c r="J47" s="49" t="n">
        <x:v>7816.5</x:v>
      </x:c>
      <x:c r="K47" s="37" t="str">
        <x:v>330499</x:v>
      </x:c>
      <x:c r="L47" s="37" t="str">
        <x:v>330499</x:v>
      </x:c>
      <x:c r="M47" s="37" t="str">
        <x:v>correcta</x:v>
      </x:c>
      <x:c r="N47" s="37" t="str">
        <x:v>ninguno</x:v>
      </x:c>
      <x:c r="O47" s="37" t="str">
        <x:v>media</x:v>
      </x:c>
      <x:c r="P47" s="38" t="str">
        <x:v>Uso cosmético.</x:v>
      </x:c>
    </x:row>
    <x:row r="48">
      <x:c r="A48" s="36" t="str">
        <x:v>INV-2025-0022</x:v>
      </x:c>
      <x:c r="B48" s="43" t="str">
        <x:v>2025-11-12</x:v>
      </x:c>
      <x:c r="C48" s="37" t="str">
        <x:v>Nordic Retail AB</x:v>
      </x:c>
      <x:c r="D48" s="37" t="str">
        <x:v>Alemania</x:v>
      </x:c>
      <x:c r="E48" s="37" t="str">
        <x:v>CFR</x:v>
      </x:c>
      <x:c r="F48" s="37" t="str">
        <x:v>Motherboard para computador portátil</x:v>
      </x:c>
      <x:c r="G48" s="37" t="str">
        <x:v>parte para equipo 8471</x:v>
      </x:c>
      <x:c r="H48" s="46" t="n">
        <x:v>30</x:v>
      </x:c>
      <x:c r="I48" s="49" t="n">
        <x:v>253.64</x:v>
      </x:c>
      <x:c r="J48" s="49" t="n">
        <x:v>7609.2</x:v>
      </x:c>
      <x:c r="K48" s="37" t="str">
        <x:v>847330</x:v>
      </x:c>
      <x:c r="L48" s="37" t="str">
        <x:v>847330</x:v>
      </x:c>
      <x:c r="M48" s="37" t="str">
        <x:v>correcta</x:v>
      </x:c>
      <x:c r="N48" s="37" t="str">
        <x:v>ninguno</x:v>
      </x:c>
      <x:c r="O48" s="37" t="str">
        <x:v>alta</x:v>
      </x:c>
      <x:c r="P48" s="38" t="str">
        <x:v>Parte y no equipo completo.</x:v>
      </x:c>
    </x:row>
    <x:row r="49">
      <x:c r="A49" s="36" t="str">
        <x:v>INV-2025-0045</x:v>
      </x:c>
      <x:c r="B49" s="43" t="str">
        <x:v>2025-11-28</x:v>
      </x:c>
      <x:c r="C49" s="37" t="str">
        <x:v>AgroNova SAS</x:v>
      </x:c>
      <x:c r="D49" s="37" t="str">
        <x:v>Países Bajos</x:v>
      </x:c>
      <x:c r="E49" s="37" t="str">
        <x:v>DAP</x:v>
      </x:c>
      <x:c r="F49" s="37" t="str">
        <x:v>Laptop 14 pulgadas, 16GB RAM, SSD 512GB</x:v>
      </x:c>
      <x:c r="G49" s="37" t="str">
        <x:v>equipo portátil para tratamiento de datos</x:v>
      </x:c>
      <x:c r="H49" s="46" t="n">
        <x:v>100</x:v>
      </x:c>
      <x:c r="I49" s="49" t="n">
        <x:v>733.14</x:v>
      </x:c>
      <x:c r="J49" s="49" t="n">
        <x:v>73314</x:v>
      </x:c>
      <x:c r="K49" s="37" t="str">
        <x:v>847130</x:v>
      </x:c>
      <x:c r="L49" s="37" t="str">
        <x:v>847130</x:v>
      </x:c>
      <x:c r="M49" s="37" t="str">
        <x:v>correcta</x:v>
      </x:c>
      <x:c r="N49" s="37" t="str">
        <x:v>ninguno</x:v>
      </x:c>
      <x:c r="O49" s="37" t="str">
        <x:v>media</x:v>
      </x:c>
      <x:c r="P49" s="38" t="str">
        <x:v>Descripción suficientemente específica.</x:v>
      </x:c>
    </x:row>
    <x:row r="50">
      <x:c r="A50" s="36" t="str">
        <x:v>INV-2025-0011</x:v>
      </x:c>
      <x:c r="B50" s="43" t="str">
        <x:v>2025-11-29</x:v>
      </x:c>
      <x:c r="C50" s="37" t="str">
        <x:v>KitchenFlex Co.</x:v>
      </x:c>
      <x:c r="D50" s="37" t="str">
        <x:v>Alemania</x:v>
      </x:c>
      <x:c r="E50" s="37" t="str">
        <x:v>EXW</x:v>
      </x:c>
      <x:c r="F50" s="37" t="str">
        <x:v>Filtro de agua doméstico con cartucho integrado</x:v>
      </x:c>
      <x:c r="G50" s="37" t="str">
        <x:v>aparato para filtrar agua</x:v>
      </x:c>
      <x:c r="H50" s="46" t="n">
        <x:v>200</x:v>
      </x:c>
      <x:c r="I50" s="49" t="n">
        <x:v>362.03</x:v>
      </x:c>
      <x:c r="J50" s="49" t="n">
        <x:v>72406</x:v>
      </x:c>
      <x:c r="K50" s="37" t="str">
        <x:v>842121</x:v>
      </x:c>
      <x:c r="L50" s="37" t="str">
        <x:v>842121</x:v>
      </x:c>
      <x:c r="M50" s="37" t="str">
        <x:v>correcta</x:v>
      </x:c>
      <x:c r="N50" s="37" t="str">
        <x:v>ninguno</x:v>
      </x:c>
      <x:c r="O50" s="37" t="str">
        <x:v>alta</x:v>
      </x:c>
      <x:c r="P50" s="38" t="str">
        <x:v>Equipo completo.</x:v>
      </x:c>
    </x:row>
    <x:row r="51">
      <x:c r="A51" s="36" t="str">
        <x:v>INV-2025-0013</x:v>
      </x:c>
      <x:c r="B51" s="43" t="str">
        <x:v>2025-12-01</x:v>
      </x:c>
      <x:c r="C51" s="37" t="str">
        <x:v>MediSupply SL</x:v>
      </x:c>
      <x:c r="D51" s="37" t="str">
        <x:v>Países Bajos</x:v>
      </x:c>
      <x:c r="E51" s="37" t="str">
        <x:v>EXW</x:v>
      </x:c>
      <x:c r="F51" s="37" t="str">
        <x:v>Paletas de madera tratada para carga</x:v>
      </x:c>
      <x:c r="G51" s="37" t="str">
        <x:v>plataformas de carga de madera</x:v>
      </x:c>
      <x:c r="H51" s="46" t="n">
        <x:v>200</x:v>
      </x:c>
      <x:c r="I51" s="49" t="n">
        <x:v>377.36</x:v>
      </x:c>
      <x:c r="J51" s="49" t="n">
        <x:v>75472</x:v>
      </x:c>
      <x:c r="K51" s="37" t="str">
        <x:v>441520</x:v>
      </x:c>
      <x:c r="L51" s="37" t="str">
        <x:v>441520</x:v>
      </x:c>
      <x:c r="M51" s="37" t="str">
        <x:v>correcta</x:v>
      </x:c>
      <x:c r="N51" s="37" t="str">
        <x:v>ninguno</x:v>
      </x:c>
      <x:c r="O51" s="37" t="str">
        <x:v>alta</x:v>
      </x:c>
      <x:c r="P51" s="38" t="str">
        <x:v>Uso logístico claro.</x:v>
      </x:c>
    </x:row>
    <x:row r="52">
      <x:c r="A52" s="36" t="str">
        <x:v>INV-2025-0023</x:v>
      </x:c>
      <x:c r="B52" s="43" t="str">
        <x:v>2025-12-04</x:v>
      </x:c>
      <x:c r="C52" s="37" t="str">
        <x:v>BlueRiver Imports</x:v>
      </x:c>
      <x:c r="D52" s="37" t="str">
        <x:v>Portugal</x:v>
      </x:c>
      <x:c r="E52" s="37" t="str">
        <x:v>CFR</x:v>
      </x:c>
      <x:c r="F52" s="37" t="str">
        <x:v>Bolso de mano femenino con exterior textil</x:v>
      </x:c>
      <x:c r="G52" s="37" t="str">
        <x:v>bolso de mano</x:v>
      </x:c>
      <x:c r="H52" s="46" t="n">
        <x:v>150</x:v>
      </x:c>
      <x:c r="I52" s="49" t="n">
        <x:v>945.4</x:v>
      </x:c>
      <x:c r="J52" s="49" t="n">
        <x:v>141810</x:v>
      </x:c>
      <x:c r="K52" s="37" t="str">
        <x:v>420222</x:v>
      </x:c>
      <x:c r="L52" s="37" t="str">
        <x:v>420222</x:v>
      </x:c>
      <x:c r="M52" s="37" t="str">
        <x:v>correcta</x:v>
      </x:c>
      <x:c r="N52" s="37" t="str">
        <x:v>ninguno</x:v>
      </x:c>
      <x:c r="O52" s="37" t="str">
        <x:v>media</x:v>
      </x:c>
      <x:c r="P52" s="38" t="str">
        <x:v>Material exterior compatible.</x:v>
      </x:c>
    </x:row>
    <x:row r="53">
      <x:c r="A53" s="36" t="str">
        <x:v>INV-2025-0052</x:v>
      </x:c>
      <x:c r="B53" s="43" t="str">
        <x:v>2025-12-09</x:v>
      </x:c>
      <x:c r="C53" s="37" t="str">
        <x:v>Pacific Components GmbH</x:v>
      </x:c>
      <x:c r="D53" s="37" t="str">
        <x:v>Italia</x:v>
      </x:c>
      <x:c r="E53" s="37" t="str">
        <x:v>EXW</x:v>
      </x:c>
      <x:c r="F53" s="37" t="str">
        <x:v>Bolso de mano femenino con exterior textil</x:v>
      </x:c>
      <x:c r="G53" s="37" t="str">
        <x:v>bolso de mano</x:v>
      </x:c>
      <x:c r="H53" s="46" t="n">
        <x:v>50</x:v>
      </x:c>
      <x:c r="I53" s="49" t="n">
        <x:v>213.72</x:v>
      </x:c>
      <x:c r="J53" s="49" t="n">
        <x:v>10686</x:v>
      </x:c>
      <x:c r="K53" s="37" t="str">
        <x:v>420222</x:v>
      </x:c>
      <x:c r="L53" s="37" t="str">
        <x:v>420222</x:v>
      </x:c>
      <x:c r="M53" s="37" t="str">
        <x:v>correcta</x:v>
      </x:c>
      <x:c r="N53" s="37" t="str">
        <x:v>ninguno</x:v>
      </x:c>
      <x:c r="O53" s="37" t="str">
        <x:v>media</x:v>
      </x:c>
      <x:c r="P53" s="38" t="str">
        <x:v>Material exterior compatible.</x:v>
      </x:c>
    </x:row>
    <x:row r="54">
      <x:c r="A54" s="36" t="str">
        <x:v>INV-2025-0036</x:v>
      </x:c>
      <x:c r="B54" s="43" t="str">
        <x:v>2025-12-17</x:v>
      </x:c>
      <x:c r="C54" s="37" t="str">
        <x:v>Pacific Components GmbH</x:v>
      </x:c>
      <x:c r="D54" s="37" t="str">
        <x:v>Italia</x:v>
      </x:c>
      <x:c r="E54" s="37" t="str">
        <x:v>FOB</x:v>
      </x:c>
      <x:c r="F54" s="37" t="str">
        <x:v>Filtro de agua doméstico con cartucho integrado</x:v>
      </x:c>
      <x:c r="G54" s="37" t="str">
        <x:v>aparato para filtrar agua</x:v>
      </x:c>
      <x:c r="H54" s="46" t="n">
        <x:v>20</x:v>
      </x:c>
      <x:c r="I54" s="49" t="n">
        <x:v>566.3</x:v>
      </x:c>
      <x:c r="J54" s="49" t="n">
        <x:v>11326</x:v>
      </x:c>
      <x:c r="K54" s="37" t="str">
        <x:v>842121</x:v>
      </x:c>
      <x:c r="L54" s="37" t="str">
        <x:v>842121</x:v>
      </x:c>
      <x:c r="M54" s="37" t="str">
        <x:v>correcta</x:v>
      </x:c>
      <x:c r="N54" s="37" t="str">
        <x:v>ninguno</x:v>
      </x:c>
      <x:c r="O54" s="37" t="str">
        <x:v>alta</x:v>
      </x:c>
      <x:c r="P54" s="38" t="str">
        <x:v>Equipo completo.</x:v>
      </x:c>
    </x:row>
    <x:row r="55">
      <x:c r="A55" s="36" t="str">
        <x:v>INV-2025-0010</x:v>
      </x:c>
      <x:c r="B55" s="43" t="str">
        <x:v>2025-12-21</x:v>
      </x:c>
      <x:c r="C55" s="37" t="str">
        <x:v>EuroTrade BV</x:v>
      </x:c>
      <x:c r="D55" s="37" t="str">
        <x:v>México</x:v>
      </x:c>
      <x:c r="E55" s="37" t="str">
        <x:v>CIF</x:v>
      </x:c>
      <x:c r="F55" s="37" t="str">
        <x:v>Paletas de madera tratada para carga</x:v>
      </x:c>
      <x:c r="G55" s="37" t="str">
        <x:v>plataformas de carga de madera</x:v>
      </x:c>
      <x:c r="H55" s="46" t="n">
        <x:v>75</x:v>
      </x:c>
      <x:c r="I55" s="49" t="n">
        <x:v>667.47</x:v>
      </x:c>
      <x:c r="J55" s="49" t="n">
        <x:v>50060.25</x:v>
      </x:c>
      <x:c r="K55" s="37" t="str">
        <x:v>441520</x:v>
      </x:c>
      <x:c r="L55" s="37" t="str">
        <x:v>441520</x:v>
      </x:c>
      <x:c r="M55" s="37" t="str">
        <x:v>correcta</x:v>
      </x:c>
      <x:c r="N55" s="37" t="str">
        <x:v>ninguno</x:v>
      </x:c>
      <x:c r="O55" s="37" t="str">
        <x:v>alta</x:v>
      </x:c>
      <x:c r="P55" s="38" t="str">
        <x:v>Uso logístico claro.</x:v>
      </x:c>
    </x:row>
    <x:row r="56">
      <x:c r="A56" s="36" t="str">
        <x:v>INV-2025-0046</x:v>
      </x:c>
      <x:c r="B56" s="43" t="str">
        <x:v>2025-12-25</x:v>
      </x:c>
      <x:c r="C56" s="37" t="str">
        <x:v>TextilSur Ltda</x:v>
      </x:c>
      <x:c r="D56" s="37" t="str">
        <x:v>Brasil</x:v>
      </x:c>
      <x:c r="E56" s="37" t="str">
        <x:v>FOB</x:v>
      </x:c>
      <x:c r="F56" s="37" t="str">
        <x:v>Sérum hidratante facial con ácido hialurónico</x:v>
      </x:c>
      <x:c r="G56" s="37" t="str">
        <x:v>preparación cosmética para cuidado de la piel</x:v>
      </x:c>
      <x:c r="H56" s="46" t="n">
        <x:v>10</x:v>
      </x:c>
      <x:c r="I56" s="49" t="n">
        <x:v>108.5</x:v>
      </x:c>
      <x:c r="J56" s="49" t="n">
        <x:v>1085</x:v>
      </x:c>
      <x:c r="K56" s="37" t="str">
        <x:v>330499</x:v>
      </x:c>
      <x:c r="L56" s="37" t="str">
        <x:v>330499</x:v>
      </x:c>
      <x:c r="M56" s="37" t="str">
        <x:v>correcta</x:v>
      </x:c>
      <x:c r="N56" s="37" t="str">
        <x:v>ninguno</x:v>
      </x:c>
      <x:c r="O56" s="37" t="str">
        <x:v>media</x:v>
      </x:c>
      <x:c r="P56" s="38" t="str">
        <x:v>Uso cosmético.</x:v>
      </x:c>
    </x:row>
    <x:row r="57">
      <x:c r="A57" s="36" t="str">
        <x:v>INV-2025-0070</x:v>
      </x:c>
      <x:c r="B57" s="43" t="str">
        <x:v>2025-12-27</x:v>
      </x:c>
      <x:c r="C57" s="37" t="str">
        <x:v>TextilSur Ltda</x:v>
      </x:c>
      <x:c r="D57" s="37" t="str">
        <x:v>Alemania</x:v>
      </x:c>
      <x:c r="E57" s="37" t="str">
        <x:v>FOB</x:v>
      </x:c>
      <x:c r="F57" s="37" t="str">
        <x:v>Cargador para notebook 65W</x:v>
      </x:c>
      <x:c r="G57" s="37" t="str">
        <x:v>fuente de alimentación para portátil</x:v>
      </x:c>
      <x:c r="H57" s="46" t="n">
        <x:v>30</x:v>
      </x:c>
      <x:c r="I57" s="49" t="n">
        <x:v>221.62</x:v>
      </x:c>
      <x:c r="J57" s="49" t="n">
        <x:v>6648.6</x:v>
      </x:c>
      <x:c r="K57" s="37" t="str">
        <x:v>850440</x:v>
      </x:c>
      <x:c r="L57" s="37" t="str">
        <x:v>850440</x:v>
      </x:c>
      <x:c r="M57" s="37" t="str">
        <x:v>correcta</x:v>
      </x:c>
      <x:c r="N57" s="37" t="str">
        <x:v>ninguno</x:v>
      </x:c>
      <x:c r="O57" s="37" t="str">
        <x:v>media</x:v>
      </x:c>
      <x:c r="P57" s="38" t="str">
        <x:v>Convertidor estático.</x:v>
      </x:c>
    </x:row>
    <x:row r="58">
      <x:c r="A58" s="36" t="str">
        <x:v>INV-2025-0033</x:v>
      </x:c>
      <x:c r="B58" s="43" t="str">
        <x:v>2025-12-28</x:v>
      </x:c>
      <x:c r="C58" s="37" t="str">
        <x:v>KitchenFlex Co.</x:v>
      </x:c>
      <x:c r="D58" s="37" t="str">
        <x:v>Portugal</x:v>
      </x:c>
      <x:c r="E58" s="37" t="str">
        <x:v>CIF</x:v>
      </x:c>
      <x:c r="F58" s="37" t="str">
        <x:v>Conector eléctrico de cobre para panel industrial</x:v>
      </x:c>
      <x:c r="G58" s="37" t="str">
        <x:v>conector para circuitos eléctricos</x:v>
      </x:c>
      <x:c r="H58" s="46" t="n">
        <x:v>200</x:v>
      </x:c>
      <x:c r="I58" s="49" t="n">
        <x:v>272.77</x:v>
      </x:c>
      <x:c r="J58" s="49" t="n">
        <x:v>54554</x:v>
      </x:c>
      <x:c r="K58" s="37" t="str">
        <x:v>853669</x:v>
      </x:c>
      <x:c r="L58" s="37" t="str">
        <x:v>853669</x:v>
      </x:c>
      <x:c r="M58" s="37" t="str">
        <x:v>correcta</x:v>
      </x:c>
      <x:c r="N58" s="37" t="str">
        <x:v>ninguno</x:v>
      </x:c>
      <x:c r="O58" s="37" t="str">
        <x:v>alta</x:v>
      </x:c>
      <x:c r="P58" s="38" t="str">
        <x:v>Confirmado por ficha técnica.</x:v>
      </x:c>
    </x:row>
    <x:row r="59">
      <x:c r="A59" s="36" t="str">
        <x:v>INV-2025-0003</x:v>
      </x:c>
      <x:c r="B59" s="43" t="str">
        <x:v>2025-12-31</x:v>
      </x:c>
      <x:c r="C59" s="37" t="str">
        <x:v>KitchenFlex Co.</x:v>
      </x:c>
      <x:c r="D59" s="37" t="str">
        <x:v>Italia</x:v>
      </x:c>
      <x:c r="E59" s="37" t="str">
        <x:v>CIF</x:v>
      </x:c>
      <x:c r="F59" s="37" t="str">
        <x:v>Sérum hidratante facial con ácido hialurónico</x:v>
      </x:c>
      <x:c r="G59" s="37" t="str">
        <x:v>preparación cosmética para cuidado de la piel</x:v>
      </x:c>
      <x:c r="H59" s="46" t="n">
        <x:v>50</x:v>
      </x:c>
      <x:c r="I59" s="49" t="n">
        <x:v>680.93</x:v>
      </x:c>
      <x:c r="J59" s="49" t="n">
        <x:v>34046.5</x:v>
      </x:c>
      <x:c r="K59" s="37" t="str">
        <x:v>330499</x:v>
      </x:c>
      <x:c r="L59" s="37" t="str">
        <x:v>330499</x:v>
      </x:c>
      <x:c r="M59" s="37" t="str">
        <x:v>correcta</x:v>
      </x:c>
      <x:c r="N59" s="37" t="str">
        <x:v>ninguno</x:v>
      </x:c>
      <x:c r="O59" s="37" t="str">
        <x:v>media</x:v>
      </x:c>
      <x:c r="P59" s="38" t="str">
        <x:v>Uso cosmético.</x:v>
      </x:c>
    </x:row>
    <x:row r="60">
      <x:c r="A60" s="36" t="str">
        <x:v>INV-2026-0025</x:v>
      </x:c>
      <x:c r="B60" s="43" t="str">
        <x:v>2026-01-03</x:v>
      </x:c>
      <x:c r="C60" s="37" t="str">
        <x:v>Andes Export SpA</x:v>
      </x:c>
      <x:c r="D60" s="37" t="str">
        <x:v>Alemania</x:v>
      </x:c>
      <x:c r="E60" s="37" t="str">
        <x:v>FOB</x:v>
      </x:c>
      <x:c r="F60" s="37" t="str">
        <x:v>Bolsas plásticas de empaque PE para retail</x:v>
      </x:c>
      <x:c r="G60" s="37" t="str">
        <x:v>bolsas de polímero de etileno</x:v>
      </x:c>
      <x:c r="H60" s="46" t="n">
        <x:v>50</x:v>
      </x:c>
      <x:c r="I60" s="49" t="n">
        <x:v>9.31</x:v>
      </x:c>
      <x:c r="J60" s="49" t="n">
        <x:v>465.5</x:v>
      </x:c>
      <x:c r="K60" s="37" t="str">
        <x:v>392321</x:v>
      </x:c>
      <x:c r="L60" s="37" t="str">
        <x:v>392321</x:v>
      </x:c>
      <x:c r="M60" s="37" t="str">
        <x:v>correcta</x:v>
      </x:c>
      <x:c r="N60" s="37" t="str">
        <x:v>ninguno</x:v>
      </x:c>
      <x:c r="O60" s="37" t="str">
        <x:v>alta</x:v>
      </x:c>
      <x:c r="P60" s="38" t="str">
        <x:v>Envase plástico liviano.</x:v>
      </x:c>
    </x:row>
    <x:row r="61">
      <x:c r="A61" s="36" t="str">
        <x:v>INV-2026-0018</x:v>
      </x:c>
      <x:c r="B61" s="43" t="str">
        <x:v>2026-01-09</x:v>
      </x:c>
      <x:c r="C61" s="37" t="str">
        <x:v>AgroNova SAS</x:v>
      </x:c>
      <x:c r="D61" s="37" t="str">
        <x:v>Brasil</x:v>
      </x:c>
      <x:c r="E61" s="37" t="str">
        <x:v>CIF</x:v>
      </x:c>
      <x:c r="F61" s="37" t="str">
        <x:v>Neumático radial nuevo para automóvil</x:v>
      </x:c>
      <x:c r="G61" s="37" t="str">
        <x:v>neumático para turismo</x:v>
      </x:c>
      <x:c r="H61" s="46" t="n">
        <x:v>10</x:v>
      </x:c>
      <x:c r="I61" s="49" t="n">
        <x:v>906.24</x:v>
      </x:c>
      <x:c r="J61" s="49" t="n">
        <x:v>9062.4</x:v>
      </x:c>
      <x:c r="K61" s="37" t="str">
        <x:v>401110</x:v>
      </x:c>
      <x:c r="L61" s="37" t="str">
        <x:v>401110</x:v>
      </x:c>
      <x:c r="M61" s="37" t="str">
        <x:v>correcta</x:v>
      </x:c>
      <x:c r="N61" s="37" t="str">
        <x:v>ninguno</x:v>
      </x:c>
      <x:c r="O61" s="37" t="str">
        <x:v>alta</x:v>
      </x:c>
      <x:c r="P61" s="38" t="str">
        <x:v>Aplicación automotriz clara.</x:v>
      </x:c>
    </x:row>
    <x:row r="62">
      <x:c r="A62" s="36" t="str">
        <x:v>INV-2026-0050</x:v>
      </x:c>
      <x:c r="B62" s="43" t="str">
        <x:v>2026-01-17</x:v>
      </x:c>
      <x:c r="C62" s="37" t="str">
        <x:v>Pacific Components GmbH</x:v>
      </x:c>
      <x:c r="D62" s="37" t="str">
        <x:v>Perú</x:v>
      </x:c>
      <x:c r="E62" s="37" t="str">
        <x:v>CIF</x:v>
      </x:c>
      <x:c r="F62" s="37" t="str">
        <x:v>Monitor LED 27 pulgadas</x:v>
      </x:c>
      <x:c r="G62" s="37" t="str">
        <x:v>monitor sin sintonizador</x:v>
      </x:c>
      <x:c r="H62" s="46" t="n">
        <x:v>150</x:v>
      </x:c>
      <x:c r="I62" s="49" t="n">
        <x:v>762.62</x:v>
      </x:c>
      <x:c r="J62" s="49" t="n">
        <x:v>114393</x:v>
      </x:c>
      <x:c r="K62" s="37" t="str">
        <x:v>852872</x:v>
      </x:c>
      <x:c r="L62" s="37" t="str">
        <x:v>847130</x:v>
      </x:c>
      <x:c r="M62" s="37" t="str">
        <x:v>requiere_revision</x:v>
      </x:c>
      <x:c r="N62" s="37" t="str">
        <x:v>descripcion_ambigua</x:v>
      </x:c>
      <x:c r="O62" s="37" t="str">
        <x:v>baja</x:v>
      </x:c>
      <x:c r="P62" s="38" t="str">
        <x:v>Podría no ser televisor; falta especificación normativa local.</x:v>
      </x:c>
    </x:row>
    <x:row r="63">
      <x:c r="A63" s="36" t="str">
        <x:v>INV-2026-0039</x:v>
      </x:c>
      <x:c r="B63" s="43" t="str">
        <x:v>2026-01-25</x:v>
      </x:c>
      <x:c r="C63" s="37" t="str">
        <x:v>EuroTrade BV</x:v>
      </x:c>
      <x:c r="D63" s="37" t="str">
        <x:v>Chile</x:v>
      </x:c>
      <x:c r="E63" s="37" t="str">
        <x:v>DAP</x:v>
      </x:c>
      <x:c r="F63" s="37" t="str">
        <x:v>Bolso de mano femenino con exterior textil</x:v>
      </x:c>
      <x:c r="G63" s="37" t="str">
        <x:v>bolso de mano</x:v>
      </x:c>
      <x:c r="H63" s="46" t="n">
        <x:v>200</x:v>
      </x:c>
      <x:c r="I63" s="49" t="n">
        <x:v>302.08</x:v>
      </x:c>
      <x:c r="J63" s="49" t="n">
        <x:v>60416</x:v>
      </x:c>
      <x:c r="K63" s="37" t="str">
        <x:v>420222</x:v>
      </x:c>
      <x:c r="L63" s="37" t="str">
        <x:v>420222</x:v>
      </x:c>
      <x:c r="M63" s="37" t="str">
        <x:v>correcta</x:v>
      </x:c>
      <x:c r="N63" s="37" t="str">
        <x:v>ninguno</x:v>
      </x:c>
      <x:c r="O63" s="37" t="str">
        <x:v>alta</x:v>
      </x:c>
      <x:c r="P63" s="38" t="str">
        <x:v>Material exterior compatible.</x:v>
      </x:c>
    </x:row>
    <x:row r="64">
      <x:c r="A64" s="36" t="str">
        <x:v>INV-2026-0062</x:v>
      </x:c>
      <x:c r="B64" s="43" t="str">
        <x:v>2026-01-25</x:v>
      </x:c>
      <x:c r="C64" s="37" t="str">
        <x:v>Pacific Components GmbH</x:v>
      </x:c>
      <x:c r="D64" s="37" t="str">
        <x:v>Perú</x:v>
      </x:c>
      <x:c r="E64" s="37" t="str">
        <x:v>CIF</x:v>
      </x:c>
      <x:c r="F64" s="37" t="str">
        <x:v>Bolso de mano femenino con exterior textil</x:v>
      </x:c>
      <x:c r="G64" s="37" t="str">
        <x:v>bolso de mano</x:v>
      </x:c>
      <x:c r="H64" s="46" t="n">
        <x:v>100</x:v>
      </x:c>
      <x:c r="I64" s="49" t="n">
        <x:v>90.98</x:v>
      </x:c>
      <x:c r="J64" s="49" t="n">
        <x:v>9098</x:v>
      </x:c>
      <x:c r="K64" s="37" t="str">
        <x:v>420222</x:v>
      </x:c>
      <x:c r="L64" s="37" t="str">
        <x:v>420222</x:v>
      </x:c>
      <x:c r="M64" s="37" t="str">
        <x:v>correcta</x:v>
      </x:c>
      <x:c r="N64" s="37" t="str">
        <x:v>ninguno</x:v>
      </x:c>
      <x:c r="O64" s="37" t="str">
        <x:v>alta</x:v>
      </x:c>
      <x:c r="P64" s="38" t="str">
        <x:v>Material exterior compatible.</x:v>
      </x:c>
    </x:row>
    <x:row r="65">
      <x:c r="A65" s="36" t="str">
        <x:v>INV-2026-0031</x:v>
      </x:c>
      <x:c r="B65" s="43" t="str">
        <x:v>2026-01-26</x:v>
      </x:c>
      <x:c r="C65" s="37" t="str">
        <x:v>Pacific Components GmbH</x:v>
      </x:c>
      <x:c r="D65" s="37" t="str">
        <x:v>Países Bajos</x:v>
      </x:c>
      <x:c r="E65" s="37" t="str">
        <x:v>DAP</x:v>
      </x:c>
      <x:c r="F65" s="37" t="str">
        <x:v>Set de recipientes plásticos reutilizables para cocina</x:v>
      </x:c>
      <x:c r="G65" s="37" t="str">
        <x:v>artículos domésticos de plástico</x:v>
      </x:c>
      <x:c r="H65" s="46" t="n">
        <x:v>10</x:v>
      </x:c>
      <x:c r="I65" s="49" t="n">
        <x:v>920.62</x:v>
      </x:c>
      <x:c r="J65" s="49" t="n">
        <x:v>9206.2</x:v>
      </x:c>
      <x:c r="K65" s="37" t="str">
        <x:v>392321</x:v>
      </x:c>
      <x:c r="L65" s="37" t="str">
        <x:v>392410</x:v>
      </x:c>
      <x:c r="M65" s="37" t="str">
        <x:v>corregida</x:v>
      </x:c>
      <x:c r="N65" s="37" t="str">
        <x:v>categoria_incorrecta</x:v>
      </x:c>
      <x:c r="O65" s="37" t="str">
        <x:v>media</x:v>
      </x:c>
      <x:c r="P65" s="38" t="str">
        <x:v>Se corrigió desde bolsas plásticas a uso doméstico.</x:v>
      </x:c>
    </x:row>
    <x:row r="66">
      <x:c r="A66" s="36" t="str">
        <x:v>INV-2026-0019</x:v>
      </x:c>
      <x:c r="B66" s="43" t="str">
        <x:v>2026-01-31</x:v>
      </x:c>
      <x:c r="C66" s="37" t="str">
        <x:v>TextilSur Ltda</x:v>
      </x:c>
      <x:c r="D66" s="37" t="str">
        <x:v>Brasil</x:v>
      </x:c>
      <x:c r="E66" s="37" t="str">
        <x:v>CFR</x:v>
      </x:c>
      <x:c r="F66" s="37" t="str">
        <x:v>Bolso de mano femenino con exterior textil</x:v>
      </x:c>
      <x:c r="G66" s="37" t="str">
        <x:v>bolso de mano</x:v>
      </x:c>
      <x:c r="H66" s="46" t="n">
        <x:v>50</x:v>
      </x:c>
      <x:c r="I66" s="49" t="n">
        <x:v>147.32</x:v>
      </x:c>
      <x:c r="J66" s="49" t="n">
        <x:v>7366</x:v>
      </x:c>
      <x:c r="K66" s="37" t="str">
        <x:v>420222</x:v>
      </x:c>
      <x:c r="L66" s="37" t="str">
        <x:v>420222</x:v>
      </x:c>
      <x:c r="M66" s="37" t="str">
        <x:v>correcta</x:v>
      </x:c>
      <x:c r="N66" s="37" t="str">
        <x:v>ninguno</x:v>
      </x:c>
      <x:c r="O66" s="37" t="str">
        <x:v>alta</x:v>
      </x:c>
      <x:c r="P66" s="38" t="str">
        <x:v>Material exterior compatible.</x:v>
      </x:c>
    </x:row>
    <x:row r="67">
      <x:c r="A67" s="36" t="str">
        <x:v>INV-2026-0008</x:v>
      </x:c>
      <x:c r="B67" s="43" t="str">
        <x:v>2026-02-05</x:v>
      </x:c>
      <x:c r="C67" s="37" t="str">
        <x:v>AgroNova SAS</x:v>
      </x:c>
      <x:c r="D67" s="37" t="str">
        <x:v>España</x:v>
      </x:c>
      <x:c r="E67" s="37" t="str">
        <x:v>CIF</x:v>
      </x:c>
      <x:c r="F67" s="37" t="str">
        <x:v>Tejido de algodón estampado 150 g/m2 en rollos</x:v>
      </x:c>
      <x:c r="G67" s="37" t="str">
        <x:v>tejido algodón estampado</x:v>
      </x:c>
      <x:c r="H67" s="46" t="n">
        <x:v>10</x:v>
      </x:c>
      <x:c r="I67" s="49" t="n">
        <x:v>629.05</x:v>
      </x:c>
      <x:c r="J67" s="49" t="n">
        <x:v>6290.5</x:v>
      </x:c>
      <x:c r="K67" s="37" t="str">
        <x:v>520852</x:v>
      </x:c>
      <x:c r="L67" s="37" t="str">
        <x:v>520852</x:v>
      </x:c>
      <x:c r="M67" s="37" t="str">
        <x:v>correcta</x:v>
      </x:c>
      <x:c r="N67" s="37" t="str">
        <x:v>ninguno</x:v>
      </x:c>
      <x:c r="O67" s="37" t="str">
        <x:v>alta</x:v>
      </x:c>
      <x:c r="P67" s="38" t="str">
        <x:v>Atributos técnicos completos.</x:v>
      </x:c>
    </x:row>
    <x:row r="68">
      <x:c r="A68" s="36" t="str">
        <x:v>INV-2026-0006</x:v>
      </x:c>
      <x:c r="B68" s="43" t="str">
        <x:v>2026-02-23</x:v>
      </x:c>
      <x:c r="C68" s="37" t="str">
        <x:v>Andes Export SpA</x:v>
      </x:c>
      <x:c r="D68" s="37" t="str">
        <x:v>Portugal</x:v>
      </x:c>
      <x:c r="E68" s="37" t="str">
        <x:v>CFR</x:v>
      </x:c>
      <x:c r="F68" s="37" t="str">
        <x:v>Vitamina C grado alimentario en polvo</x:v>
      </x:c>
      <x:c r="G68" s="37" t="str">
        <x:v>ácido ascórbico</x:v>
      </x:c>
      <x:c r="H68" s="46" t="n">
        <x:v>100</x:v>
      </x:c>
      <x:c r="I68" s="49" t="n">
        <x:v>574.53</x:v>
      </x:c>
      <x:c r="J68" s="49" t="n">
        <x:v>57453</x:v>
      </x:c>
      <x:c r="K68" s="37" t="str">
        <x:v>210690</x:v>
      </x:c>
      <x:c r="L68" s="37" t="str">
        <x:v>293627</x:v>
      </x:c>
      <x:c r="M68" s="37" t="str">
        <x:v>corregida</x:v>
      </x:c>
      <x:c r="N68" s="37" t="str">
        <x:v>codigo_demasiado_general</x:v>
      </x:c>
      <x:c r="O68" s="37" t="str">
        <x:v>baja</x:v>
      </x:c>
      <x:c r="P68" s="38" t="str">
        <x:v>Se corrigió a partida química específica.</x:v>
      </x:c>
    </x:row>
    <x:row r="69">
      <x:c r="A69" s="36" t="str">
        <x:v>INV-2026-0049</x:v>
      </x:c>
      <x:c r="B69" s="43" t="str">
        <x:v>2026-02-25</x:v>
      </x:c>
      <x:c r="C69" s="37" t="str">
        <x:v>TextilSur Ltda</x:v>
      </x:c>
      <x:c r="D69" s="37" t="str">
        <x:v>Italia</x:v>
      </x:c>
      <x:c r="E69" s="37" t="str">
        <x:v>FOB</x:v>
      </x:c>
      <x:c r="F69" s="37" t="str">
        <x:v>Café tostado molido en bolsas de 500 g</x:v>
      </x:c>
      <x:c r="G69" s="37" t="str">
        <x:v>café tostado sin descafeinar</x:v>
      </x:c>
      <x:c r="H69" s="46" t="n">
        <x:v>30</x:v>
      </x:c>
      <x:c r="I69" s="49" t="n">
        <x:v>927.46</x:v>
      </x:c>
      <x:c r="J69" s="49" t="n">
        <x:v>27823.8</x:v>
      </x:c>
      <x:c r="K69" s="37" t="str">
        <x:v>090121</x:v>
      </x:c>
      <x:c r="L69" s="37" t="str">
        <x:v>090121</x:v>
      </x:c>
      <x:c r="M69" s="37" t="str">
        <x:v>correcta</x:v>
      </x:c>
      <x:c r="N69" s="37" t="str">
        <x:v>ninguno</x:v>
      </x:c>
      <x:c r="O69" s="37" t="str">
        <x:v>alta</x:v>
      </x:c>
      <x:c r="P69" s="38" t="str">
        <x:v>Presentación comercial no cambia la partida.</x:v>
      </x:c>
    </x:row>
    <x:row r="70">
      <x:c r="A70" s="36" t="str">
        <x:v>INV-2026-0007</x:v>
      </x:c>
      <x:c r="B70" s="43" t="str">
        <x:v>2026-03-06</x:v>
      </x:c>
      <x:c r="C70" s="37" t="str">
        <x:v>TechPort SARL</x:v>
      </x:c>
      <x:c r="D70" s="37" t="str">
        <x:v>Colombia</x:v>
      </x:c>
      <x:c r="E70" s="37" t="str">
        <x:v>CFR</x:v>
      </x:c>
      <x:c r="F70" s="37" t="str">
        <x:v>T-shirt de punto 100% algodón</x:v>
      </x:c>
      <x:c r="G70" s="37" t="str">
        <x:v>camiseta de punto de algodón</x:v>
      </x:c>
      <x:c r="H70" s="46" t="n">
        <x:v>20</x:v>
      </x:c>
      <x:c r="I70" s="49" t="n">
        <x:v>525.56</x:v>
      </x:c>
      <x:c r="J70" s="49" t="n">
        <x:v>10511.2</x:v>
      </x:c>
      <x:c r="K70" s="37" t="str">
        <x:v>610910</x:v>
      </x:c>
      <x:c r="L70" s="37" t="str">
        <x:v>610910</x:v>
      </x:c>
      <x:c r="M70" s="37" t="str">
        <x:v>correcta</x:v>
      </x:c>
      <x:c r="N70" s="37" t="str">
        <x:v>ninguno</x:v>
      </x:c>
      <x:c r="O70" s="37" t="str">
        <x:v>alta</x:v>
      </x:c>
      <x:c r="P70" s="38" t="str">
        <x:v>Prenda de punto definida.</x:v>
      </x:c>
    </x:row>
    <x:row r="71">
      <x:c r="A71" s="39" t="str">
        <x:v>INV-2026-0009</x:v>
      </x:c>
      <x:c r="B71" s="44" t="str">
        <x:v>2026-03-09</x:v>
      </x:c>
      <x:c r="C71" s="40" t="str">
        <x:v>BlueRiver Imports</x:v>
      </x:c>
      <x:c r="D71" s="40" t="str">
        <x:v>Países Bajos</x:v>
      </x:c>
      <x:c r="E71" s="40" t="str">
        <x:v>EXW</x:v>
      </x:c>
      <x:c r="F71" s="40" t="str">
        <x:v>T-shirt de punto 100% algodón</x:v>
      </x:c>
      <x:c r="G71" s="40" t="str">
        <x:v>camiseta de punto de algodón</x:v>
      </x:c>
      <x:c r="H71" s="47" t="n">
        <x:v>75</x:v>
      </x:c>
      <x:c r="I71" s="50" t="n">
        <x:v>432.11</x:v>
      </x:c>
      <x:c r="J71" s="50" t="n">
        <x:v>32408.25</x:v>
      </x:c>
      <x:c r="K71" s="40" t="str">
        <x:v>610910</x:v>
      </x:c>
      <x:c r="L71" s="40" t="str">
        <x:v>610910</x:v>
      </x:c>
      <x:c r="M71" s="40" t="str">
        <x:v>correcta</x:v>
      </x:c>
      <x:c r="N71" s="40" t="str">
        <x:v>ninguno</x:v>
      </x:c>
      <x:c r="O71" s="40" t="str">
        <x:v>media</x:v>
      </x:c>
      <x:c r="P71" s="41" t="str">
        <x:v>Prenda de punto definida.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</x:cols>
  <x:sheetData>
    <x:row r="1">
      <x:c r="A1" s="12" t="str">
        <x:v>Indicador</x:v>
      </x:c>
      <x:c r="B1" s="14" t="str">
        <x:v>Valor</x:v>
      </x:c>
    </x:row>
    <x:row r="2">
      <x:c r="A2" s="33" t="str">
        <x:v>Total facturas</x:v>
      </x:c>
      <x:c r="B2" s="35" t="n">
        <x:v>70</x:v>
      </x:c>
    </x:row>
    <x:row r="3">
      <x:c r="A3" s="36" t="str">
        <x:v>Correctas</x:v>
      </x:c>
      <x:c r="B3" s="38" t="n">
        <x:f>COUNTIF(Facturas_Historicas!M:M,"correcta")</x:f>
        <x:v>63</x:v>
      </x:c>
    </x:row>
    <x:row r="4">
      <x:c r="A4" s="36" t="str">
        <x:v>Corregidas</x:v>
      </x:c>
      <x:c r="B4" s="38" t="n">
        <x:f>COUNTIF(Facturas_Historicas!M:M,"corregida")</x:f>
        <x:v>4</x:v>
      </x:c>
    </x:row>
    <x:row r="5">
      <x:c r="A5" s="36" t="str">
        <x:v>Requieren revisión</x:v>
      </x:c>
      <x:c r="B5" s="38" t="n">
        <x:f>COUNTIF(Facturas_Historicas!M:M,"requiere_revision")</x:f>
        <x:v>3</x:v>
      </x:c>
    </x:row>
    <x:row r="6">
      <x:c r="A6" s="39" t="str">
        <x:v>Monto total USD</x:v>
      </x:c>
      <x:c r="B6" s="51" t="n">
        <x:f>SUM(Facturas_Historicas!J:J)</x:f>
        <x:v>2454770.7499999995</x:v>
      </x:c>
    </x:row>
  </x:sheetData>
  <x:pageMargins left="0.7" right="0.7" top="0.75" bottom="0.75" header="0.3" footer="0.3"/>
</x:worksheet>
</file>